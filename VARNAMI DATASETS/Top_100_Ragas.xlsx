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100 Ragas" sheetId="1" state="visible" r:id="rId3"/>
    <sheet name="Summary" sheetId="2" state="visible" r:id="rId4"/>
    <sheet name="Notes" sheetId="3" state="visible" r:id="rId5"/>
  </sheets>
  <definedNames>
    <definedName function="false" hidden="true" localSheetId="0" name="_xlnm._FilterDatabase" vbProcedure="false">'Top 100 Ragas'!$A$1:$S$101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<sst xmlns="http://schemas.openxmlformats.org/spreadsheetml/2006/main" count="1029" uniqueCount="390">
  <si>
    <t xml:space="preserve">Rank</t>
  </si>
  <si>
    <t xml:space="preserve">Raga</t>
  </si>
  <si>
    <t xml:space="preserve">Type</t>
  </si>
  <si>
    <t xml:space="preserve">Melakarta no. (own / parent)</t>
  </si>
  <si>
    <t xml:space="preserve">Parent melakarta</t>
  </si>
  <si>
    <t xml:space="preserve">Arohanam</t>
  </si>
  <si>
    <t xml:space="preserve">Avarohanam</t>
  </si>
  <si>
    <t xml:space="preserve">Swaras in arohanam</t>
  </si>
  <si>
    <t xml:space="preserve">Swaras in avarohanam</t>
  </si>
  <si>
    <t xml:space="preserve">Arohanam class</t>
  </si>
  <si>
    <t xml:space="preserve">Avarohanam class</t>
  </si>
  <si>
    <t xml:space="preserve">Raga class</t>
  </si>
  <si>
    <t xml:space="preserve">Vakra?</t>
  </si>
  <si>
    <t xml:space="preserve">Usage band</t>
  </si>
  <si>
    <t xml:space="preserve">Scale source</t>
  </si>
  <si>
    <t xml:space="preserve">Confidence</t>
  </si>
  <si>
    <t xml:space="preserve">Notes / flags</t>
  </si>
  <si>
    <t xml:space="preserve">Row no. in your sheet</t>
  </si>
  <si>
    <t xml:space="preserve">Expert verified?</t>
  </si>
  <si>
    <t xml:space="preserve">Mayamalavagowla</t>
  </si>
  <si>
    <t xml:space="preserve">Melakarta</t>
  </si>
  <si>
    <t xml:space="preserve">(is a melakarta)</t>
  </si>
  <si>
    <t xml:space="preserve">S R1 G3 M1 P D1 N3 S'</t>
  </si>
  <si>
    <t xml:space="preserve">S' N3 D1 P M1 G3 R1 S</t>
  </si>
  <si>
    <t xml:space="preserve">No</t>
  </si>
  <si>
    <t xml:space="preserve">A - Very common</t>
  </si>
  <si>
    <t xml:space="preserve">Your sheet (systematic)</t>
  </si>
  <si>
    <t xml:space="preserve">High</t>
  </si>
  <si>
    <t xml:space="preserve">Mechakalyani</t>
  </si>
  <si>
    <t xml:space="preserve">S R2 G3 M2 P D2 N3 S'</t>
  </si>
  <si>
    <t xml:space="preserve">S' N3 D2 P M2 G3 R2 S</t>
  </si>
  <si>
    <t xml:space="preserve">Kalyani</t>
  </si>
  <si>
    <t xml:space="preserve">Dheerasankarabharanam</t>
  </si>
  <si>
    <t xml:space="preserve">S R2 G3 M1 P D2 N3 S'</t>
  </si>
  <si>
    <t xml:space="preserve">S' N3 D2 P M1 G3 R2 S</t>
  </si>
  <si>
    <t xml:space="preserve">Sankarabharanam</t>
  </si>
  <si>
    <t xml:space="preserve">Kharaharapriya</t>
  </si>
  <si>
    <t xml:space="preserve">S R2 G2 M1 P D2 N2 S'</t>
  </si>
  <si>
    <t xml:space="preserve">S' N2 D2 P M1 G2 R2 S</t>
  </si>
  <si>
    <t xml:space="preserve">Hanumatodi</t>
  </si>
  <si>
    <t xml:space="preserve">S R1 G2 M1 P D1 N2 S'</t>
  </si>
  <si>
    <t xml:space="preserve">S' N2 D1 P M1 G2 R1 S</t>
  </si>
  <si>
    <t xml:space="preserve">Todi</t>
  </si>
  <si>
    <t xml:space="preserve">Harikambhoji</t>
  </si>
  <si>
    <t xml:space="preserve">S R2 G3 M1 P D2 N2 S'</t>
  </si>
  <si>
    <t xml:space="preserve">S' N2 D2 P M1 G3 R2 S</t>
  </si>
  <si>
    <t xml:space="preserve">Kambhoji family parent</t>
  </si>
  <si>
    <t xml:space="preserve">Bhairavi</t>
  </si>
  <si>
    <t xml:space="preserve">Janya</t>
  </si>
  <si>
    <t xml:space="preserve">20 - Natabhairavi</t>
  </si>
  <si>
    <t xml:space="preserve">S R2 G2 M1 P D1 N2 S'</t>
  </si>
  <si>
    <t xml:space="preserve">S' N2 D1 P M1 G2 R2 S</t>
  </si>
  <si>
    <t xml:space="preserve">Your sheet</t>
  </si>
  <si>
    <t xml:space="preserve">Your sheet gives the plain Natabhairavi scale. In practice it is sung vakra (S G2 R2 G2 M1 P D1 N2 S') and bhashanga. Class is unchanged.</t>
  </si>
  <si>
    <t xml:space="preserve">Mohanam</t>
  </si>
  <si>
    <t xml:space="preserve">28 - Harikambhoji</t>
  </si>
  <si>
    <t xml:space="preserve">S R2 G3 P D2 S'</t>
  </si>
  <si>
    <t xml:space="preserve">S' D2 P G3 R2 S</t>
  </si>
  <si>
    <t xml:space="preserve">Kambhoji</t>
  </si>
  <si>
    <t xml:space="preserve">S R2 G3 M1 P D2 S'</t>
  </si>
  <si>
    <t xml:space="preserve">Bhashanga (N3 anya swara) and vakra phrases in practice.</t>
  </si>
  <si>
    <t xml:space="preserve">Shanmukhapriya</t>
  </si>
  <si>
    <t xml:space="preserve">S R2 G2 M2 P D1 N2 S'</t>
  </si>
  <si>
    <t xml:space="preserve">S' N2 D1 P M2 G2 R2 S</t>
  </si>
  <si>
    <t xml:space="preserve">Charukesi</t>
  </si>
  <si>
    <t xml:space="preserve">S R2 G3 M1 P D1 N2 S'</t>
  </si>
  <si>
    <t xml:space="preserve">S' N2 D1 P M1 G3 R2 S</t>
  </si>
  <si>
    <t xml:space="preserve">Natabhairavi</t>
  </si>
  <si>
    <t xml:space="preserve">Natabhairavi (parent of Bhairavi)</t>
  </si>
  <si>
    <t xml:space="preserve">Keeravani</t>
  </si>
  <si>
    <t xml:space="preserve">S R2 G2 M1 P D1 N3 S'</t>
  </si>
  <si>
    <t xml:space="preserve">S' N3 D1 P M1 G2 R2 S</t>
  </si>
  <si>
    <t xml:space="preserve">Begada</t>
  </si>
  <si>
    <t xml:space="preserve">29 - Dheerasankarabharanam</t>
  </si>
  <si>
    <t xml:space="preserve">S G3 R2 G3 M1 P D2 P S'</t>
  </si>
  <si>
    <t xml:space="preserve">Yes</t>
  </si>
  <si>
    <t xml:space="preserve">Wikipedia - List of Janya ragas</t>
  </si>
  <si>
    <t xml:space="preserve">Vakra ascent.</t>
  </si>
  <si>
    <t xml:space="preserve">Bilahari</t>
  </si>
  <si>
    <t xml:space="preserve">Bhashanga (N2 anya swara).</t>
  </si>
  <si>
    <t xml:space="preserve">Hamsadhwani</t>
  </si>
  <si>
    <t xml:space="preserve">S R2 G3 P N3 S'</t>
  </si>
  <si>
    <t xml:space="preserve">S' N3 P G3 R2 S</t>
  </si>
  <si>
    <t xml:space="preserve">Saveri</t>
  </si>
  <si>
    <t xml:space="preserve">15 - Mayamalavagowla</t>
  </si>
  <si>
    <t xml:space="preserve">S R1 M1 P D1 S'</t>
  </si>
  <si>
    <t xml:space="preserve">S' N2 D1 P M1 G3 R1 S</t>
  </si>
  <si>
    <t xml:space="preserve">Descent uses N2 per your sheet; some sources give N3.</t>
  </si>
  <si>
    <t xml:space="preserve">Madhyamavati</t>
  </si>
  <si>
    <t xml:space="preserve">22 - Kharaharapriya</t>
  </si>
  <si>
    <t xml:space="preserve">S R2 M1 P N2 S'</t>
  </si>
  <si>
    <t xml:space="preserve">S' N2 P M1 R2 S</t>
  </si>
  <si>
    <t xml:space="preserve">Anandabhairavi</t>
  </si>
  <si>
    <t xml:space="preserve">S G2 R2 G2 M1 P D1 P S'</t>
  </si>
  <si>
    <t xml:space="preserve">Wikipedia list, adapted to parent 20</t>
  </si>
  <si>
    <t xml:space="preserve">Check</t>
  </si>
  <si>
    <t xml:space="preserve">Vakra; no Nishadam in the ascent. Wikipedia writes D2 (with G3, D1, N3 as anya swaras); the dhaivatam varies by source.</t>
  </si>
  <si>
    <t xml:space="preserve">Hindolam</t>
  </si>
  <si>
    <t xml:space="preserve">S G2 M1 D1 N2 S'</t>
  </si>
  <si>
    <t xml:space="preserve">S' N2 D1 M1 G2 S</t>
  </si>
  <si>
    <t xml:space="preserve">Sahana</t>
  </si>
  <si>
    <t xml:space="preserve">S R2 G3 M1 P M1 D2 N2 S'</t>
  </si>
  <si>
    <t xml:space="preserve">S' N2 D2 P M1 G3 M1 R2 G3 R2 S</t>
  </si>
  <si>
    <t xml:space="preserve">Wikipedia list (simplified)</t>
  </si>
  <si>
    <t xml:space="preserve">Vakra; bhashanga (G3 anya swara).</t>
  </si>
  <si>
    <t xml:space="preserve">Kapi</t>
  </si>
  <si>
    <t xml:space="preserve">S R2 M1 P N3 S'</t>
  </si>
  <si>
    <t xml:space="preserve">S' N2 D2 N2 P M1 G2 R2 S</t>
  </si>
  <si>
    <t xml:space="preserve">Bhashanga (N3 in ascent); vakra descent.</t>
  </si>
  <si>
    <t xml:space="preserve">Abhogi</t>
  </si>
  <si>
    <t xml:space="preserve">S R2 G2 M1 D2 S'</t>
  </si>
  <si>
    <t xml:space="preserve">S' D2 M1 G2 R2 S</t>
  </si>
  <si>
    <t xml:space="preserve">Arabhi</t>
  </si>
  <si>
    <t xml:space="preserve">S R2 M1 P D2 S'</t>
  </si>
  <si>
    <t xml:space="preserve">Vakra phrases in practice.</t>
  </si>
  <si>
    <t xml:space="preserve">Atana</t>
  </si>
  <si>
    <t xml:space="preserve">S' N2 D2 P M1 G2 M1 R2 S</t>
  </si>
  <si>
    <t xml:space="preserve">Bhashanga: G2 and N2 are anya swaras.</t>
  </si>
  <si>
    <t xml:space="preserve">Behag</t>
  </si>
  <si>
    <t xml:space="preserve">S G3 M1 P N3 D2 N3 S'</t>
  </si>
  <si>
    <t xml:space="preserve">Bhashanga (M2 and N2 anya swaras); vakra ascent.</t>
  </si>
  <si>
    <t xml:space="preserve">Sriranjani</t>
  </si>
  <si>
    <t xml:space="preserve">S R2 G2 M1 D2 N2 S'</t>
  </si>
  <si>
    <t xml:space="preserve">S' N2 D2 M1 G2 R2 S</t>
  </si>
  <si>
    <t xml:space="preserve">Sriragam</t>
  </si>
  <si>
    <t xml:space="preserve">S' N2 P D2 N2 P M1 R2 G2 R2 S</t>
  </si>
  <si>
    <t xml:space="preserve">Vakra descent.</t>
  </si>
  <si>
    <t xml:space="preserve">Dhanyasi</t>
  </si>
  <si>
    <t xml:space="preserve">8 - Hanumatodi</t>
  </si>
  <si>
    <t xml:space="preserve">S G2 M1 P N2 S'</t>
  </si>
  <si>
    <t xml:space="preserve">Wikipedia - raga article</t>
  </si>
  <si>
    <t xml:space="preserve">Your sheet's avarohanam omits D1 (S' N2 P M1 G2 R1 S), which would make it Audava-Shadava. Wikipedia gives D1 and R1 in the descent (audava-sampurna). Confirm with the expert.</t>
  </si>
  <si>
    <t xml:space="preserve">Abheri</t>
  </si>
  <si>
    <t xml:space="preserve">S' N2 P M1 G2 R2 S</t>
  </si>
  <si>
    <t xml:space="preserve">Mukhari</t>
  </si>
  <si>
    <t xml:space="preserve">S R2 M1 P N2 D2 S'</t>
  </si>
  <si>
    <t xml:space="preserve">Vakra ascent. Sources differ on whether Dha is in the ascent; D1 in the descent is an anya swara.</t>
  </si>
  <si>
    <t xml:space="preserve">Kedaragowla</t>
  </si>
  <si>
    <t xml:space="preserve">Khamas</t>
  </si>
  <si>
    <t xml:space="preserve">S M1 G3 M1 P D2 N3 S'</t>
  </si>
  <si>
    <t xml:space="preserve">Bhashanga (N3 in ascent); vakra ascent.</t>
  </si>
  <si>
    <t xml:space="preserve">Shivaranjani</t>
  </si>
  <si>
    <t xml:space="preserve">S R2 G2 P D2 S'</t>
  </si>
  <si>
    <t xml:space="preserve">S' D2 P G2 R2 S</t>
  </si>
  <si>
    <t xml:space="preserve">Malahari</t>
  </si>
  <si>
    <t xml:space="preserve">S' D1 P M1 G3 R1 S</t>
  </si>
  <si>
    <t xml:space="preserve">Punnagavarali</t>
  </si>
  <si>
    <t xml:space="preserve">N2 S R1 G2 M1 P D1 N2</t>
  </si>
  <si>
    <t xml:space="preserve">N2 D1 P M1 G2 R1 S N2</t>
  </si>
  <si>
    <t xml:space="preserve">Nishadantya: sung N2 to N2 in one octave (no upper Sa). R2 sometimes used in the ascent.</t>
  </si>
  <si>
    <t xml:space="preserve">Varali</t>
  </si>
  <si>
    <t xml:space="preserve">39 - Jhalavarali</t>
  </si>
  <si>
    <t xml:space="preserve">S G1 R1 G1 M2 P D1 N3 S'</t>
  </si>
  <si>
    <t xml:space="preserve">S' N3 D1 P M2 G1 R1 S</t>
  </si>
  <si>
    <t xml:space="preserve">Vakra ascent, as written in Wikipedia's list. Confirm with the expert.</t>
  </si>
  <si>
    <t xml:space="preserve">Asaveri</t>
  </si>
  <si>
    <t xml:space="preserve">S' N2 S P D1 M1 P R2 G2 R1 S</t>
  </si>
  <si>
    <t xml:space="preserve">Vakra descent; bhashanga (R2 is an anya swara).</t>
  </si>
  <si>
    <t xml:space="preserve">Simhendramadhyamam</t>
  </si>
  <si>
    <t xml:space="preserve">S R2 G2 M2 P D1 N3 S'</t>
  </si>
  <si>
    <t xml:space="preserve">S' N3 D1 P M2 G2 R2 S</t>
  </si>
  <si>
    <t xml:space="preserve">B - Common</t>
  </si>
  <si>
    <t xml:space="preserve">Gaurimanohari</t>
  </si>
  <si>
    <t xml:space="preserve">S R2 G2 M1 P D2 N3 S'</t>
  </si>
  <si>
    <t xml:space="preserve">S' N3 D2 P M1 G2 R2 S</t>
  </si>
  <si>
    <t xml:space="preserve">Hemavati</t>
  </si>
  <si>
    <t xml:space="preserve">S R2 G2 M2 P D2 N2 S'</t>
  </si>
  <si>
    <t xml:space="preserve">S' N2 D2 P M2 G2 R2 S</t>
  </si>
  <si>
    <t xml:space="preserve">Dharmavati</t>
  </si>
  <si>
    <t xml:space="preserve">S R2 G2 M2 P D2 N3 S'</t>
  </si>
  <si>
    <t xml:space="preserve">S' N3 D2 P M2 G2 R2 S</t>
  </si>
  <si>
    <t xml:space="preserve">Kamavardhini</t>
  </si>
  <si>
    <t xml:space="preserve">S R1 G3 M2 P D1 N3 S'</t>
  </si>
  <si>
    <t xml:space="preserve">S' N3 D1 P M2 G3 R1 S</t>
  </si>
  <si>
    <t xml:space="preserve">Pantuvarali</t>
  </si>
  <si>
    <t xml:space="preserve">Vachaspati</t>
  </si>
  <si>
    <t xml:space="preserve">S R2 G3 M2 P D2 N2 S'</t>
  </si>
  <si>
    <t xml:space="preserve">S' N2 D2 P M2 G3 R2 S</t>
  </si>
  <si>
    <t xml:space="preserve">Natakapriya</t>
  </si>
  <si>
    <t xml:space="preserve">S R1 G2 M1 P D2 N2 S'</t>
  </si>
  <si>
    <t xml:space="preserve">S' N2 D2 P M1 G2 R1 S</t>
  </si>
  <si>
    <t xml:space="preserve">Chakravakam</t>
  </si>
  <si>
    <t xml:space="preserve">S R1 G3 M1 P D2 N2 S'</t>
  </si>
  <si>
    <t xml:space="preserve">S' N2 D2 P M1 G3 R1 S</t>
  </si>
  <si>
    <t xml:space="preserve">Gamanashrama</t>
  </si>
  <si>
    <t xml:space="preserve">S R1 G3 M2 P D2 N3 S'</t>
  </si>
  <si>
    <t xml:space="preserve">S' N3 D2 P M2 G3 R1 S</t>
  </si>
  <si>
    <t xml:space="preserve">Gamanashrama (Purvikalyani is a related raga)</t>
  </si>
  <si>
    <t xml:space="preserve">Chalanata</t>
  </si>
  <si>
    <t xml:space="preserve">S R3 G3 M1 P D3 N3 S'</t>
  </si>
  <si>
    <t xml:space="preserve">S' N3 D3 P M1 G3 R3 S</t>
  </si>
  <si>
    <t xml:space="preserve">Jhalavarali</t>
  </si>
  <si>
    <t xml:space="preserve">S R1 G1 M2 P D1 N3 S'</t>
  </si>
  <si>
    <t xml:space="preserve">Yadukulakambhoji</t>
  </si>
  <si>
    <t xml:space="preserve">Poorvikalyani</t>
  </si>
  <si>
    <t xml:space="preserve">53 - Gamanashrama</t>
  </si>
  <si>
    <t xml:space="preserve">S R1 G3 M2 P D2 P S'</t>
  </si>
  <si>
    <t xml:space="preserve">Vakra ascent; no Nishadam in the ascent.</t>
  </si>
  <si>
    <t xml:space="preserve">Mohanakalyani</t>
  </si>
  <si>
    <t xml:space="preserve">65 - Mechakalyani</t>
  </si>
  <si>
    <t xml:space="preserve">Yamunakalyani</t>
  </si>
  <si>
    <t xml:space="preserve">S' N3 D2 P M2 G3 M1 G3 R2 S</t>
  </si>
  <si>
    <t xml:space="preserve">Bhashanga (M1 anya swara) with vakra descent; some sources vary the ascent.</t>
  </si>
  <si>
    <t xml:space="preserve">Hamirkalyani</t>
  </si>
  <si>
    <t xml:space="preserve">S R2 S P M2 P D2 N3 S'</t>
  </si>
  <si>
    <t xml:space="preserve">Claude (standard textbook form); cf. Wikipedia</t>
  </si>
  <si>
    <t xml:space="preserve">Vakra; bhashanga (M1 anya swara). Wikipedia's entry is a composite of several versions.</t>
  </si>
  <si>
    <t xml:space="preserve">Amritavarshini</t>
  </si>
  <si>
    <t xml:space="preserve">S G3 M2 P N3 S'</t>
  </si>
  <si>
    <t xml:space="preserve">S' N3 P M2 G3 S</t>
  </si>
  <si>
    <t xml:space="preserve">Your sheet lists parent 65; Wikipedia lists 66 (Chitrambari). Ri and Dha are absent, so either parent fits.</t>
  </si>
  <si>
    <t xml:space="preserve">Hamsanandi</t>
  </si>
  <si>
    <t xml:space="preserve">S R1 G3 M2 D2 N3 S'</t>
  </si>
  <si>
    <t xml:space="preserve">S' N3 D2 M2 G3 R1 S</t>
  </si>
  <si>
    <t xml:space="preserve">No Panchamam.</t>
  </si>
  <si>
    <t xml:space="preserve">Gaula</t>
  </si>
  <si>
    <t xml:space="preserve">S R1 M1 P N3 S'</t>
  </si>
  <si>
    <t xml:space="preserve">S' N3 P M1 R1 G3 M1 R1 S</t>
  </si>
  <si>
    <t xml:space="preserve">Nattai</t>
  </si>
  <si>
    <t xml:space="preserve">36 - Chalanata</t>
  </si>
  <si>
    <t xml:space="preserve">S R3 G3 M1 P N3 S'</t>
  </si>
  <si>
    <t xml:space="preserve">S' N3 P M1 G3 R3 S</t>
  </si>
  <si>
    <t xml:space="preserve">Bowli</t>
  </si>
  <si>
    <t xml:space="preserve">S R1 G3 P D1 S'</t>
  </si>
  <si>
    <t xml:space="preserve">S' N3 D1 P G3 R1 S</t>
  </si>
  <si>
    <t xml:space="preserve">Lalita</t>
  </si>
  <si>
    <t xml:space="preserve">S R1 G3 M1 D1 N3 S'</t>
  </si>
  <si>
    <t xml:space="preserve">S' N3 D1 M1 G3 R1 S</t>
  </si>
  <si>
    <t xml:space="preserve">Revagupti</t>
  </si>
  <si>
    <t xml:space="preserve">S' D1 P M1 R1 S</t>
  </si>
  <si>
    <t xml:space="preserve">Your sheet's scale kept. Wikipedia's janya list shows a different scale (S R1 G3 P D1 S' / S' D1 P G3 R1 S). Confirm with the expert.</t>
  </si>
  <si>
    <t xml:space="preserve">Jaganmohini</t>
  </si>
  <si>
    <t xml:space="preserve">S G3 M1 P N3 S'</t>
  </si>
  <si>
    <t xml:space="preserve">S' N3 P M1 G3 R1 S</t>
  </si>
  <si>
    <t xml:space="preserve">Ahiri</t>
  </si>
  <si>
    <t xml:space="preserve">16 - Chakravakam</t>
  </si>
  <si>
    <t xml:space="preserve">S R1 S G3 M1 P D2 N2 S'</t>
  </si>
  <si>
    <t xml:space="preserve">Wikipedia list, adapted to your parent mapping</t>
  </si>
  <si>
    <t xml:space="preserve">Vakra; bhashanga. Parent is disputed: your sheet says 16 (Chakravakam); Wikipedia lists it under 8 and 14 (with D1). Scale here uses D2 N2 to match parent 16.</t>
  </si>
  <si>
    <t xml:space="preserve">Bhupalam</t>
  </si>
  <si>
    <t xml:space="preserve">S R1 G2 P D1 S'</t>
  </si>
  <si>
    <t xml:space="preserve">S' D1 P G2 R1 S</t>
  </si>
  <si>
    <t xml:space="preserve">Sindhubhairavi</t>
  </si>
  <si>
    <t xml:space="preserve">S R2 G2 M1 G2 P D1 N2 S'</t>
  </si>
  <si>
    <t xml:space="preserve">Bhashanga; uses many anya swaras (R2, G3, M2, D2, N3).</t>
  </si>
  <si>
    <t xml:space="preserve">Ritigowla</t>
  </si>
  <si>
    <t xml:space="preserve">S G2 R2 G2 M1 N2 D2 N2 S'</t>
  </si>
  <si>
    <t xml:space="preserve">S' N2 D2 M1 G2 M1 P M1 G2 R2 S</t>
  </si>
  <si>
    <t xml:space="preserve">Vakra in both directions. Wikipedia's ascent is S G2 R2 G2 M1 N2 D2 M1 N2 N2 S'; simplified here.</t>
  </si>
  <si>
    <t xml:space="preserve">Bageshri</t>
  </si>
  <si>
    <t xml:space="preserve">S G2 M1 D2 N2 S'</t>
  </si>
  <si>
    <t xml:space="preserve">S' N2 D2 M1 P D2 G2 M1 R2 S</t>
  </si>
  <si>
    <t xml:space="preserve">Brindavana Saranga</t>
  </si>
  <si>
    <t xml:space="preserve">Wikipedia list (descent simplified)</t>
  </si>
  <si>
    <t xml:space="preserve">Your sheet lists parent 29; Wikipedia lists it under 22 (Kharaharapriya). Wikipedia's descent also has G2 R2 (S' N2 P M1 R2 G2 R2 S).</t>
  </si>
  <si>
    <t xml:space="preserve">Kedaram</t>
  </si>
  <si>
    <t xml:space="preserve">S M1 G3 M1 P N3 S'</t>
  </si>
  <si>
    <t xml:space="preserve">S' N3 P M1 G3 R2 S</t>
  </si>
  <si>
    <t xml:space="preserve">Shuddha Saveri</t>
  </si>
  <si>
    <t xml:space="preserve">S' D2 P M1 R2 S</t>
  </si>
  <si>
    <t xml:space="preserve">Nilambari</t>
  </si>
  <si>
    <t xml:space="preserve">S R2 G3 M1 P D2 P N3 S'</t>
  </si>
  <si>
    <t xml:space="preserve">S' N3 P M1 G3 R2 G3 S</t>
  </si>
  <si>
    <t xml:space="preserve">Vakra; N2 appears as an anya swara.</t>
  </si>
  <si>
    <t xml:space="preserve">Kuntalavarali</t>
  </si>
  <si>
    <t xml:space="preserve">S M1 P D2 N2 D2 S'</t>
  </si>
  <si>
    <t xml:space="preserve">S' N2 D2 P M1 S</t>
  </si>
  <si>
    <t xml:space="preserve">Gowlipantu</t>
  </si>
  <si>
    <t xml:space="preserve">S' N3 D1 P M1 D1 M1 G3 R1 S</t>
  </si>
  <si>
    <t xml:space="preserve">Vakra descent; sources differ on the exact scale.</t>
  </si>
  <si>
    <t xml:space="preserve">Gambhira Nattai</t>
  </si>
  <si>
    <t xml:space="preserve">S' N3 P M1 G3 S</t>
  </si>
  <si>
    <t xml:space="preserve">Madhuvanti</t>
  </si>
  <si>
    <t xml:space="preserve">59 - Dharmavati</t>
  </si>
  <si>
    <t xml:space="preserve">S G2 M2 P N3 S'</t>
  </si>
  <si>
    <t xml:space="preserve">Hindustani-origin raga.</t>
  </si>
  <si>
    <t xml:space="preserve">Nadanamakriya</t>
  </si>
  <si>
    <t xml:space="preserve">S R1 G3 M1 P D1 N3</t>
  </si>
  <si>
    <t xml:space="preserve">N3 D1 P M1 G3 R1 S N3</t>
  </si>
  <si>
    <t xml:space="preserve">Nishadantya-style (N3 to N3, one octave); vakra phrases in practice.</t>
  </si>
  <si>
    <t xml:space="preserve">Karnataka Behag</t>
  </si>
  <si>
    <t xml:space="preserve">S' N2 D2 N2 P D2 M1 G3 R2 S</t>
  </si>
  <si>
    <t xml:space="preserve">Your sheet lists parent 29; the N2 in the scale points to 28 (Harikambhoji). Vakra descent.</t>
  </si>
  <si>
    <t xml:space="preserve">Gayakapriya</t>
  </si>
  <si>
    <t xml:space="preserve">S R1 G3 M1 P D1 N1 S'</t>
  </si>
  <si>
    <t xml:space="preserve">S' N1 D1 P M1 G3 R1 S</t>
  </si>
  <si>
    <t xml:space="preserve">C - Less common</t>
  </si>
  <si>
    <t xml:space="preserve">Vakulabharanam</t>
  </si>
  <si>
    <t xml:space="preserve">S R1 G3 M1 P D1 N2 S'</t>
  </si>
  <si>
    <t xml:space="preserve">Jhankaradhvani</t>
  </si>
  <si>
    <t xml:space="preserve">S R2 G2 M1 P D1 N1 S'</t>
  </si>
  <si>
    <t xml:space="preserve">S' N1 D1 P M1 G2 R2 S</t>
  </si>
  <si>
    <t xml:space="preserve">Subhapantuvarali</t>
  </si>
  <si>
    <t xml:space="preserve">S R1 G2 M2 P D1 N3 S'</t>
  </si>
  <si>
    <t xml:space="preserve">S' N3 D1 P M2 G2 R1 S</t>
  </si>
  <si>
    <t xml:space="preserve">Ramapriya</t>
  </si>
  <si>
    <t xml:space="preserve">S R1 G3 M2 P D2 N2 S'</t>
  </si>
  <si>
    <t xml:space="preserve">S' N2 D2 P M2 G3 R1 S</t>
  </si>
  <si>
    <t xml:space="preserve">Latangi</t>
  </si>
  <si>
    <t xml:space="preserve">S R2 G3 M2 P D1 N3 S'</t>
  </si>
  <si>
    <t xml:space="preserve">S' N3 D1 P M2 G3 R2 S</t>
  </si>
  <si>
    <t xml:space="preserve">Chitrambari</t>
  </si>
  <si>
    <t xml:space="preserve">S R2 G3 M2 P D3 N3 S'</t>
  </si>
  <si>
    <t xml:space="preserve">S' N3 D3 P M2 G3 R2 S</t>
  </si>
  <si>
    <t xml:space="preserve">Sindhu Ramakriya</t>
  </si>
  <si>
    <t xml:space="preserve">S G3 M1 P D1 N3 S'</t>
  </si>
  <si>
    <t xml:space="preserve">S' N3 P M1 G3 R1 G3 S</t>
  </si>
  <si>
    <t xml:space="preserve">Your sheet lists parent 8; Wikipedia lists 15 (N3 in the scale). Vakra descent.</t>
  </si>
  <si>
    <t xml:space="preserve">Ramakriya</t>
  </si>
  <si>
    <t xml:space="preserve">S' N3 P D1 P M1 G3 R1 S</t>
  </si>
  <si>
    <t xml:space="preserve">Gundakriya</t>
  </si>
  <si>
    <t xml:space="preserve">Salagabhairavi</t>
  </si>
  <si>
    <t xml:space="preserve">Your sheet lists parent 8; Wikipedia lists 22. Sources differ - verify.</t>
  </si>
  <si>
    <t xml:space="preserve">Jayamanohari</t>
  </si>
  <si>
    <t xml:space="preserve">Your sheet lists parent 20; Wikipedia lists 22.</t>
  </si>
  <si>
    <t xml:space="preserve">Kannadagowla</t>
  </si>
  <si>
    <t xml:space="preserve">S R2 G2 M1 P N2 S'</t>
  </si>
  <si>
    <t xml:space="preserve">S' N2 D2 P M1 G2 S</t>
  </si>
  <si>
    <t xml:space="preserve">Your sheet lists parent 15; Wikipedia lists 22.</t>
  </si>
  <si>
    <t xml:space="preserve">Devamanohari</t>
  </si>
  <si>
    <t xml:space="preserve">S R2 M1 P D2 N2 S'</t>
  </si>
  <si>
    <t xml:space="preserve">S' N2 D2 N2 P M1 R2 S</t>
  </si>
  <si>
    <t xml:space="preserve">Your sheet lists parent 20; Wikipedia lists 22. Vakra descent.</t>
  </si>
  <si>
    <t xml:space="preserve">Vasantabhairavi</t>
  </si>
  <si>
    <t xml:space="preserve">14 - Vakulabharanam</t>
  </si>
  <si>
    <t xml:space="preserve">S R1 G3 M1 D1 N2 S'</t>
  </si>
  <si>
    <t xml:space="preserve">S' N2 D1 M1 P M1 G3 R1 S</t>
  </si>
  <si>
    <t xml:space="preserve">Your sheet lists parent 20; Wikipedia lists 14 (R1 G3 in the scale). Vakra descent.</t>
  </si>
  <si>
    <t xml:space="preserve">Valaji</t>
  </si>
  <si>
    <t xml:space="preserve">S G3 P D2 N2 S'</t>
  </si>
  <si>
    <t xml:space="preserve">S' N2 D2 P G3 S</t>
  </si>
  <si>
    <t xml:space="preserve">Your sheet lists parent 29; Wikipedia lists 16.</t>
  </si>
  <si>
    <t xml:space="preserve">Devagandhari</t>
  </si>
  <si>
    <t xml:space="preserve">N2 appears as an anya swara.</t>
  </si>
  <si>
    <t xml:space="preserve">Paraju</t>
  </si>
  <si>
    <t xml:space="preserve">Hindustani (Paraj) origin.</t>
  </si>
  <si>
    <t xml:space="preserve">Gurjari</t>
  </si>
  <si>
    <t xml:space="preserve">S' D1 N3 P M1 G3 R1 S</t>
  </si>
  <si>
    <t xml:space="preserve">Your sheet lists parent 8; Wikipedia lists 15. Vakra descent.</t>
  </si>
  <si>
    <t xml:space="preserve">Kokiladhwani</t>
  </si>
  <si>
    <t xml:space="preserve">S R2 G3 M1 D2 N2 D2 S'</t>
  </si>
  <si>
    <t xml:space="preserve">S' N2 D2 N2 P M1 G3 R2 S</t>
  </si>
  <si>
    <t xml:space="preserve">Your sheet lists parent 8; Wikipedia lists 28. Vakra.</t>
  </si>
  <si>
    <t xml:space="preserve">Nayaki</t>
  </si>
  <si>
    <t xml:space="preserve">S R2 M1 P D2 N2 D2 P S'</t>
  </si>
  <si>
    <t xml:space="preserve">S' N2 D2 P M1 R2 G2 R2 S</t>
  </si>
  <si>
    <t xml:space="preserve">Vakra.</t>
  </si>
  <si>
    <t xml:space="preserve">Manirangu</t>
  </si>
  <si>
    <t xml:space="preserve">Narayanagowla</t>
  </si>
  <si>
    <t xml:space="preserve">S R2 M1 P N2 D2 N2 S'</t>
  </si>
  <si>
    <t xml:space="preserve">S' N2 D2 P M1 G3 R2 G3 S</t>
  </si>
  <si>
    <t xml:space="preserve">Your sheet lists parent 15; Wikipedia lists 28. Vakra.</t>
  </si>
  <si>
    <t xml:space="preserve">Summary - Top 100 ragas</t>
  </si>
  <si>
    <t xml:space="preserve">Raga class matrix (rows = arohanam, columns = avarohanam)</t>
  </si>
  <si>
    <t xml:space="preserve">Arohanam \ Avarohanam</t>
  </si>
  <si>
    <t xml:space="preserve">Sampoorna</t>
  </si>
  <si>
    <t xml:space="preserve">Shadava</t>
  </si>
  <si>
    <t xml:space="preserve">Audava</t>
  </si>
  <si>
    <t xml:space="preserve">Total (classified)</t>
  </si>
  <si>
    <t xml:space="preserve">Other / Svarantara</t>
  </si>
  <si>
    <t xml:space="preserve">Other breakdowns</t>
  </si>
  <si>
    <t xml:space="preserve">Melakarta (always Sampoorna - Sampoorna)</t>
  </si>
  <si>
    <t xml:space="preserve">Pentatonic both ways (Audava - Audava)</t>
  </si>
  <si>
    <t xml:space="preserve">Vakra (zigzag note order in written scale)</t>
  </si>
  <si>
    <t xml:space="preserve">Band A - Very common</t>
  </si>
  <si>
    <t xml:space="preserve">Band B - Common</t>
  </si>
  <si>
    <t xml:space="preserve">Band C - Less common</t>
  </si>
  <si>
    <t xml:space="preserve">Confidence = Check (needs expert review)</t>
  </si>
  <si>
    <t xml:space="preserve">Legend</t>
  </si>
  <si>
    <t xml:space="preserve">All 7 swaras (S R G M P D N) in that direction.</t>
  </si>
  <si>
    <t xml:space="preserve">6 swaras in that direction (one swara omitted).</t>
  </si>
  <si>
    <t xml:space="preserve">5 swaras - the pentatonic ragas.</t>
  </si>
  <si>
    <t xml:space="preserve">Svarantara</t>
  </si>
  <si>
    <t xml:space="preserve">4 swaras (none in this list).</t>
  </si>
  <si>
    <t xml:space="preserve">Arohanam class - Avarohanam class, e.g. "Audava - Sampoorna" = 5 notes up, 7 notes down.</t>
  </si>
  <si>
    <t xml:space="preserve">Vakra</t>
  </si>
  <si>
    <t xml:space="preserve">The written scale zigzags (a note is repeated or the order reverses) in the ascent or descent.</t>
  </si>
  <si>
    <t xml:space="preserve">Counting rule</t>
  </si>
  <si>
    <t xml:space="preserve">Swaras are counted by letter (R, G, M, P, D, N plus Sa), so M1 and M2 together count once. Anya swaras do not add a new swara unless the letter is new.</t>
  </si>
  <si>
    <t xml:space="preserve">How this list was made</t>
  </si>
  <si>
    <t xml:space="preserve">1. Your sheet has 170 ragas but no usage-frequency data, so "most used" is a judgment call: your Pilot tier column plus how often each raga appears in the concert repertoire. Rank is approximate within each usage band.</t>
  </si>
  <si>
    <t xml:space="preserve">2. Melakartas: scales come straight from your sheet. Janyas: scales come from your sheet where filled, otherwise from Wikipedia's List of Janya ragas (or the raga's own article). See the "Scale source" column.</t>
  </si>
  <si>
    <t xml:space="preserve">3. Swara counts and the class columns are formulas that read the Arohanam / Avarohanam text, so if you correct a scale the class updates. The Vakra flag is a fixed value worked out from the scale as written here.</t>
  </si>
  <si>
    <t xml:space="preserve">4. Rows marked "Check" in the Confidence column have conflicting sources or a parent mapping that differs from your sheet. Per your golden rule 4, every row still needs the expert to review it before it is used as ground truth.</t>
  </si>
  <si>
    <t xml:space="preserve">Differences found against your sheet</t>
  </si>
  <si>
    <t xml:space="preserve">- Dhanyasi: your avarohanam omits D1; Wikipedia includes it (changes the class from Audava-Shadava to Audava-Sampoorna).</t>
  </si>
  <si>
    <t xml:space="preserve">- Revagupti: your scale (S R1 M1 P D1 S') differs from Wikipedia's list (which has G3 instead of M1).</t>
  </si>
  <si>
    <t xml:space="preserve">- Saveri: your descent has N2; some sources give N3. Class is unaffected.</t>
  </si>
  <si>
    <t xml:space="preserve">- Parent mapping differs from your sheet for: Brindavana Saranga, Karnataka Behag, Salagabhairavi, Jayamanohari, Kannadagowla, Devamanohari, Vasantabhairavi, Valaji, Sindhu Ramakriya, Gurjari, Kokiladhwani, Narayanagowla (see each row's notes).</t>
  </si>
  <si>
    <t xml:space="preserve">Notation: R1/R2/R3, G1/G2/G3, D1/D2/D3, N1/N2/N3, M1/M2; S' = upper Sa. Ragas that are nishadantya (Punnagavarali, Nadanamakriya) are written N to N in one octave.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</si>
</sst>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34"/>
    <col collapsed="false" customWidth="true" hidden="false" outlineLevel="0" max="7" min="7" style="0" width="38"/>
    <col collapsed="false" customWidth="true" hidden="false" outlineLevel="0" max="9" min="8" style="0" width="11"/>
    <col collapsed="false" customWidth="true" hidden="false" outlineLevel="0" max="11" min="10" style="0" width="13"/>
    <col collapsed="false" customWidth="true" hidden="false" outlineLevel="0" max="12" min="12" style="0" width="22"/>
    <col collapsed="false" customWidth="true" hidden="false" outlineLevel="0" max="13" min="13" style="0" width="8"/>
    <col collapsed="false" customWidth="true" hidden="false" outlineLevel="0" max="14" min="14" style="0" width="16"/>
    <col collapsed="false" customWidth="true" hidden="false" outlineLevel="0" max="15" min="15" style="0" width="30"/>
    <col collapsed="false" customWidth="true" hidden="false" outlineLevel="0" max="16" min="16" style="0" width="11"/>
    <col collapsed="false" customWidth="true" hidden="false" outlineLevel="0" max="17" min="17" style="0" width="70"/>
    <col collapsed="false" customWidth="true" hidden="false" outlineLevel="0" max="18" min="18" style="0" width="10"/>
    <col collapsed="false" customWidth="true" hidden="false" outlineLevel="0" max="19" min="19" style="0" width="11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n">
        <v>1</v>
      </c>
      <c r="B2" s="3" t="s">
        <v>19</v>
      </c>
      <c r="C2" s="2" t="s">
        <v>20</v>
      </c>
      <c r="D2" s="2" t="n">
        <v>15</v>
      </c>
      <c r="E2" s="4" t="s">
        <v>21</v>
      </c>
      <c r="F2" s="5" t="s">
        <v>22</v>
      </c>
      <c r="G2" s="5" t="s">
        <v>23</v>
      </c>
      <c r="H2" s="2" t="n">
        <f aca="false">1+ISNUMBER(SEARCH("R",F2))+ISNUMBER(SEARCH("G",F2))+ISNUMBER(SEARCH("M",F2))+ISNUMBER(SEARCH("P",F2))+ISNUMBER(SEARCH("D",F2))+ISNUMBER(SEARCH("N",F2))</f>
        <v>7</v>
      </c>
      <c r="I2" s="2" t="n">
        <f aca="false">1+ISNUMBER(SEARCH("R",G2))+ISNUMBER(SEARCH("G",G2))+ISNUMBER(SEARCH("M",G2))+ISNUMBER(SEARCH("P",G2))+ISNUMBER(SEARCH("D",G2))+ISNUMBER(SEARCH("N",G2))</f>
        <v>7</v>
      </c>
      <c r="J2" s="2" t="str">
        <f aca="false">IFERROR(CHOOSE(H2-3,"Svarantara","Audava","Shadava","Sampoorna"),"Other")</f>
        <v>Sampoorna</v>
      </c>
      <c r="K2" s="2" t="str">
        <f aca="false">IFERROR(CHOOSE(I2-3,"Svarantara","Audava","Shadava","Sampoorna"),"Other")</f>
        <v>Sampoorna</v>
      </c>
      <c r="L2" s="5" t="str">
        <f aca="false">J2&amp;" - "&amp;K2</f>
        <v>Sampoorna - Sampoorna</v>
      </c>
      <c r="M2" s="2" t="s">
        <v>24</v>
      </c>
      <c r="N2" s="2" t="s">
        <v>25</v>
      </c>
      <c r="O2" s="4" t="s">
        <v>26</v>
      </c>
      <c r="P2" s="2" t="s">
        <v>27</v>
      </c>
      <c r="Q2" s="4" t="s">
        <v>19</v>
      </c>
      <c r="R2" s="2" t="n">
        <v>15</v>
      </c>
      <c r="S2" s="2"/>
    </row>
    <row r="3" customFormat="false" ht="15" hidden="false" customHeight="false" outlineLevel="0" collapsed="false">
      <c r="A3" s="2" t="n">
        <v>2</v>
      </c>
      <c r="B3" s="3" t="s">
        <v>28</v>
      </c>
      <c r="C3" s="2" t="s">
        <v>20</v>
      </c>
      <c r="D3" s="2" t="n">
        <v>65</v>
      </c>
      <c r="E3" s="4" t="s">
        <v>21</v>
      </c>
      <c r="F3" s="5" t="s">
        <v>29</v>
      </c>
      <c r="G3" s="5" t="s">
        <v>30</v>
      </c>
      <c r="H3" s="2" t="n">
        <f aca="false">1+ISNUMBER(SEARCH("R",F3))+ISNUMBER(SEARCH("G",F3))+ISNUMBER(SEARCH("M",F3))+ISNUMBER(SEARCH("P",F3))+ISNUMBER(SEARCH("D",F3))+ISNUMBER(SEARCH("N",F3))</f>
        <v>7</v>
      </c>
      <c r="I3" s="2" t="n">
        <f aca="false">1+ISNUMBER(SEARCH("R",G3))+ISNUMBER(SEARCH("G",G3))+ISNUMBER(SEARCH("M",G3))+ISNUMBER(SEARCH("P",G3))+ISNUMBER(SEARCH("D",G3))+ISNUMBER(SEARCH("N",G3))</f>
        <v>7</v>
      </c>
      <c r="J3" s="2" t="str">
        <f aca="false">IFERROR(CHOOSE(H3-3,"Svarantara","Audava","Shadava","Sampoorna"),"Other")</f>
        <v>Sampoorna</v>
      </c>
      <c r="K3" s="2" t="str">
        <f aca="false">IFERROR(CHOOSE(I3-3,"Svarantara","Audava","Shadava","Sampoorna"),"Other")</f>
        <v>Sampoorna</v>
      </c>
      <c r="L3" s="5" t="str">
        <f aca="false">J3&amp;" - "&amp;K3</f>
        <v>Sampoorna - Sampoorna</v>
      </c>
      <c r="M3" s="2" t="s">
        <v>24</v>
      </c>
      <c r="N3" s="2" t="s">
        <v>25</v>
      </c>
      <c r="O3" s="4" t="s">
        <v>26</v>
      </c>
      <c r="P3" s="2" t="s">
        <v>27</v>
      </c>
      <c r="Q3" s="4" t="s">
        <v>31</v>
      </c>
      <c r="R3" s="2" t="n">
        <v>65</v>
      </c>
      <c r="S3" s="2"/>
    </row>
    <row r="4" customFormat="false" ht="15" hidden="false" customHeight="false" outlineLevel="0" collapsed="false">
      <c r="A4" s="2" t="n">
        <v>3</v>
      </c>
      <c r="B4" s="3" t="s">
        <v>32</v>
      </c>
      <c r="C4" s="2" t="s">
        <v>20</v>
      </c>
      <c r="D4" s="2" t="n">
        <v>29</v>
      </c>
      <c r="E4" s="4" t="s">
        <v>21</v>
      </c>
      <c r="F4" s="5" t="s">
        <v>33</v>
      </c>
      <c r="G4" s="5" t="s">
        <v>34</v>
      </c>
      <c r="H4" s="2" t="n">
        <f aca="false">1+ISNUMBER(SEARCH("R",F4))+ISNUMBER(SEARCH("G",F4))+ISNUMBER(SEARCH("M",F4))+ISNUMBER(SEARCH("P",F4))+ISNUMBER(SEARCH("D",F4))+ISNUMBER(SEARCH("N",F4))</f>
        <v>7</v>
      </c>
      <c r="I4" s="2" t="n">
        <f aca="false">1+ISNUMBER(SEARCH("R",G4))+ISNUMBER(SEARCH("G",G4))+ISNUMBER(SEARCH("M",G4))+ISNUMBER(SEARCH("P",G4))+ISNUMBER(SEARCH("D",G4))+ISNUMBER(SEARCH("N",G4))</f>
        <v>7</v>
      </c>
      <c r="J4" s="2" t="str">
        <f aca="false">IFERROR(CHOOSE(H4-3,"Svarantara","Audava","Shadava","Sampoorna"),"Other")</f>
        <v>Sampoorna</v>
      </c>
      <c r="K4" s="2" t="str">
        <f aca="false">IFERROR(CHOOSE(I4-3,"Svarantara","Audava","Shadava","Sampoorna"),"Other")</f>
        <v>Sampoorna</v>
      </c>
      <c r="L4" s="5" t="str">
        <f aca="false">J4&amp;" - "&amp;K4</f>
        <v>Sampoorna - Sampoorna</v>
      </c>
      <c r="M4" s="2" t="s">
        <v>24</v>
      </c>
      <c r="N4" s="2" t="s">
        <v>25</v>
      </c>
      <c r="O4" s="4" t="s">
        <v>26</v>
      </c>
      <c r="P4" s="2" t="s">
        <v>27</v>
      </c>
      <c r="Q4" s="4" t="s">
        <v>35</v>
      </c>
      <c r="R4" s="2" t="n">
        <v>29</v>
      </c>
      <c r="S4" s="2"/>
    </row>
    <row r="5" customFormat="false" ht="15" hidden="false" customHeight="false" outlineLevel="0" collapsed="false">
      <c r="A5" s="2" t="n">
        <v>4</v>
      </c>
      <c r="B5" s="3" t="s">
        <v>36</v>
      </c>
      <c r="C5" s="2" t="s">
        <v>20</v>
      </c>
      <c r="D5" s="2" t="n">
        <v>22</v>
      </c>
      <c r="E5" s="4" t="s">
        <v>21</v>
      </c>
      <c r="F5" s="5" t="s">
        <v>37</v>
      </c>
      <c r="G5" s="5" t="s">
        <v>38</v>
      </c>
      <c r="H5" s="2" t="n">
        <f aca="false">1+ISNUMBER(SEARCH("R",F5))+ISNUMBER(SEARCH("G",F5))+ISNUMBER(SEARCH("M",F5))+ISNUMBER(SEARCH("P",F5))+ISNUMBER(SEARCH("D",F5))+ISNUMBER(SEARCH("N",F5))</f>
        <v>7</v>
      </c>
      <c r="I5" s="2" t="n">
        <f aca="false">1+ISNUMBER(SEARCH("R",G5))+ISNUMBER(SEARCH("G",G5))+ISNUMBER(SEARCH("M",G5))+ISNUMBER(SEARCH("P",G5))+ISNUMBER(SEARCH("D",G5))+ISNUMBER(SEARCH("N",G5))</f>
        <v>7</v>
      </c>
      <c r="J5" s="2" t="str">
        <f aca="false">IFERROR(CHOOSE(H5-3,"Svarantara","Audava","Shadava","Sampoorna"),"Other")</f>
        <v>Sampoorna</v>
      </c>
      <c r="K5" s="2" t="str">
        <f aca="false">IFERROR(CHOOSE(I5-3,"Svarantara","Audava","Shadava","Sampoorna"),"Other")</f>
        <v>Sampoorna</v>
      </c>
      <c r="L5" s="5" t="str">
        <f aca="false">J5&amp;" - "&amp;K5</f>
        <v>Sampoorna - Sampoorna</v>
      </c>
      <c r="M5" s="2" t="s">
        <v>24</v>
      </c>
      <c r="N5" s="2" t="s">
        <v>25</v>
      </c>
      <c r="O5" s="4" t="s">
        <v>26</v>
      </c>
      <c r="P5" s="2" t="s">
        <v>27</v>
      </c>
      <c r="Q5" s="4" t="s">
        <v>36</v>
      </c>
      <c r="R5" s="2" t="n">
        <v>22</v>
      </c>
      <c r="S5" s="2"/>
    </row>
    <row r="6" customFormat="false" ht="15" hidden="false" customHeight="false" outlineLevel="0" collapsed="false">
      <c r="A6" s="2" t="n">
        <v>5</v>
      </c>
      <c r="B6" s="3" t="s">
        <v>39</v>
      </c>
      <c r="C6" s="2" t="s">
        <v>20</v>
      </c>
      <c r="D6" s="2" t="n">
        <v>8</v>
      </c>
      <c r="E6" s="4" t="s">
        <v>21</v>
      </c>
      <c r="F6" s="5" t="s">
        <v>40</v>
      </c>
      <c r="G6" s="5" t="s">
        <v>41</v>
      </c>
      <c r="H6" s="2" t="n">
        <f aca="false">1+ISNUMBER(SEARCH("R",F6))+ISNUMBER(SEARCH("G",F6))+ISNUMBER(SEARCH("M",F6))+ISNUMBER(SEARCH("P",F6))+ISNUMBER(SEARCH("D",F6))+ISNUMBER(SEARCH("N",F6))</f>
        <v>7</v>
      </c>
      <c r="I6" s="2" t="n">
        <f aca="false">1+ISNUMBER(SEARCH("R",G6))+ISNUMBER(SEARCH("G",G6))+ISNUMBER(SEARCH("M",G6))+ISNUMBER(SEARCH("P",G6))+ISNUMBER(SEARCH("D",G6))+ISNUMBER(SEARCH("N",G6))</f>
        <v>7</v>
      </c>
      <c r="J6" s="2" t="str">
        <f aca="false">IFERROR(CHOOSE(H6-3,"Svarantara","Audava","Shadava","Sampoorna"),"Other")</f>
        <v>Sampoorna</v>
      </c>
      <c r="K6" s="2" t="str">
        <f aca="false">IFERROR(CHOOSE(I6-3,"Svarantara","Audava","Shadava","Sampoorna"),"Other")</f>
        <v>Sampoorna</v>
      </c>
      <c r="L6" s="5" t="str">
        <f aca="false">J6&amp;" - "&amp;K6</f>
        <v>Sampoorna - Sampoorna</v>
      </c>
      <c r="M6" s="2" t="s">
        <v>24</v>
      </c>
      <c r="N6" s="2" t="s">
        <v>25</v>
      </c>
      <c r="O6" s="4" t="s">
        <v>26</v>
      </c>
      <c r="P6" s="2" t="s">
        <v>27</v>
      </c>
      <c r="Q6" s="4" t="s">
        <v>42</v>
      </c>
      <c r="R6" s="2" t="n">
        <v>8</v>
      </c>
      <c r="S6" s="2"/>
    </row>
    <row r="7" customFormat="false" ht="15" hidden="false" customHeight="false" outlineLevel="0" collapsed="false">
      <c r="A7" s="2" t="n">
        <v>6</v>
      </c>
      <c r="B7" s="3" t="s">
        <v>43</v>
      </c>
      <c r="C7" s="2" t="s">
        <v>20</v>
      </c>
      <c r="D7" s="2" t="n">
        <v>28</v>
      </c>
      <c r="E7" s="4" t="s">
        <v>21</v>
      </c>
      <c r="F7" s="5" t="s">
        <v>44</v>
      </c>
      <c r="G7" s="5" t="s">
        <v>45</v>
      </c>
      <c r="H7" s="2" t="n">
        <f aca="false">1+ISNUMBER(SEARCH("R",F7))+ISNUMBER(SEARCH("G",F7))+ISNUMBER(SEARCH("M",F7))+ISNUMBER(SEARCH("P",F7))+ISNUMBER(SEARCH("D",F7))+ISNUMBER(SEARCH("N",F7))</f>
        <v>7</v>
      </c>
      <c r="I7" s="2" t="n">
        <f aca="false">1+ISNUMBER(SEARCH("R",G7))+ISNUMBER(SEARCH("G",G7))+ISNUMBER(SEARCH("M",G7))+ISNUMBER(SEARCH("P",G7))+ISNUMBER(SEARCH("D",G7))+ISNUMBER(SEARCH("N",G7))</f>
        <v>7</v>
      </c>
      <c r="J7" s="2" t="str">
        <f aca="false">IFERROR(CHOOSE(H7-3,"Svarantara","Audava","Shadava","Sampoorna"),"Other")</f>
        <v>Sampoorna</v>
      </c>
      <c r="K7" s="2" t="str">
        <f aca="false">IFERROR(CHOOSE(I7-3,"Svarantara","Audava","Shadava","Sampoorna"),"Other")</f>
        <v>Sampoorna</v>
      </c>
      <c r="L7" s="5" t="str">
        <f aca="false">J7&amp;" - "&amp;K7</f>
        <v>Sampoorna - Sampoorna</v>
      </c>
      <c r="M7" s="2" t="s">
        <v>24</v>
      </c>
      <c r="N7" s="2" t="s">
        <v>25</v>
      </c>
      <c r="O7" s="4" t="s">
        <v>26</v>
      </c>
      <c r="P7" s="2" t="s">
        <v>27</v>
      </c>
      <c r="Q7" s="4" t="s">
        <v>46</v>
      </c>
      <c r="R7" s="2" t="n">
        <v>28</v>
      </c>
      <c r="S7" s="2"/>
    </row>
    <row r="8" customFormat="false" ht="23.85" hidden="false" customHeight="false" outlineLevel="0" collapsed="false">
      <c r="A8" s="2" t="n">
        <v>7</v>
      </c>
      <c r="B8" s="3" t="s">
        <v>47</v>
      </c>
      <c r="C8" s="2" t="s">
        <v>48</v>
      </c>
      <c r="D8" s="2" t="n">
        <v>20</v>
      </c>
      <c r="E8" s="4" t="s">
        <v>49</v>
      </c>
      <c r="F8" s="5" t="s">
        <v>50</v>
      </c>
      <c r="G8" s="5" t="s">
        <v>51</v>
      </c>
      <c r="H8" s="2" t="n">
        <f aca="false">1+ISNUMBER(SEARCH("R",F8))+ISNUMBER(SEARCH("G",F8))+ISNUMBER(SEARCH("M",F8))+ISNUMBER(SEARCH("P",F8))+ISNUMBER(SEARCH("D",F8))+ISNUMBER(SEARCH("N",F8))</f>
        <v>7</v>
      </c>
      <c r="I8" s="2" t="n">
        <f aca="false">1+ISNUMBER(SEARCH("R",G8))+ISNUMBER(SEARCH("G",G8))+ISNUMBER(SEARCH("M",G8))+ISNUMBER(SEARCH("P",G8))+ISNUMBER(SEARCH("D",G8))+ISNUMBER(SEARCH("N",G8))</f>
        <v>7</v>
      </c>
      <c r="J8" s="2" t="str">
        <f aca="false">IFERROR(CHOOSE(H8-3,"Svarantara","Audava","Shadava","Sampoorna"),"Other")</f>
        <v>Sampoorna</v>
      </c>
      <c r="K8" s="2" t="str">
        <f aca="false">IFERROR(CHOOSE(I8-3,"Svarantara","Audava","Shadava","Sampoorna"),"Other")</f>
        <v>Sampoorna</v>
      </c>
      <c r="L8" s="5" t="str">
        <f aca="false">J8&amp;" - "&amp;K8</f>
        <v>Sampoorna - Sampoorna</v>
      </c>
      <c r="M8" s="2" t="s">
        <v>24</v>
      </c>
      <c r="N8" s="2" t="s">
        <v>25</v>
      </c>
      <c r="O8" s="4" t="s">
        <v>52</v>
      </c>
      <c r="P8" s="2" t="s">
        <v>27</v>
      </c>
      <c r="Q8" s="4" t="s">
        <v>53</v>
      </c>
      <c r="R8" s="2" t="n">
        <v>100</v>
      </c>
      <c r="S8" s="2"/>
    </row>
    <row r="9" customFormat="false" ht="15" hidden="false" customHeight="false" outlineLevel="0" collapsed="false">
      <c r="A9" s="2" t="n">
        <v>8</v>
      </c>
      <c r="B9" s="3" t="s">
        <v>54</v>
      </c>
      <c r="C9" s="2" t="s">
        <v>48</v>
      </c>
      <c r="D9" s="2" t="n">
        <v>28</v>
      </c>
      <c r="E9" s="4" t="s">
        <v>55</v>
      </c>
      <c r="F9" s="5" t="s">
        <v>56</v>
      </c>
      <c r="G9" s="5" t="s">
        <v>57</v>
      </c>
      <c r="H9" s="2" t="n">
        <f aca="false">1+ISNUMBER(SEARCH("R",F9))+ISNUMBER(SEARCH("G",F9))+ISNUMBER(SEARCH("M",F9))+ISNUMBER(SEARCH("P",F9))+ISNUMBER(SEARCH("D",F9))+ISNUMBER(SEARCH("N",F9))</f>
        <v>5</v>
      </c>
      <c r="I9" s="2" t="n">
        <f aca="false">1+ISNUMBER(SEARCH("R",G9))+ISNUMBER(SEARCH("G",G9))+ISNUMBER(SEARCH("M",G9))+ISNUMBER(SEARCH("P",G9))+ISNUMBER(SEARCH("D",G9))+ISNUMBER(SEARCH("N",G9))</f>
        <v>5</v>
      </c>
      <c r="J9" s="2" t="str">
        <f aca="false">IFERROR(CHOOSE(H9-3,"Svarantara","Audava","Shadava","Sampoorna"),"Other")</f>
        <v>Audava</v>
      </c>
      <c r="K9" s="2" t="str">
        <f aca="false">IFERROR(CHOOSE(I9-3,"Svarantara","Audava","Shadava","Sampoorna"),"Other")</f>
        <v>Audava</v>
      </c>
      <c r="L9" s="5" t="str">
        <f aca="false">J9&amp;" - "&amp;K9</f>
        <v>Audava - Audava</v>
      </c>
      <c r="M9" s="2" t="s">
        <v>24</v>
      </c>
      <c r="N9" s="2" t="s">
        <v>25</v>
      </c>
      <c r="O9" s="4" t="s">
        <v>52</v>
      </c>
      <c r="P9" s="2" t="s">
        <v>27</v>
      </c>
      <c r="Q9" s="4"/>
      <c r="R9" s="2" t="n">
        <v>134</v>
      </c>
      <c r="S9" s="2"/>
    </row>
    <row r="10" customFormat="false" ht="15" hidden="false" customHeight="false" outlineLevel="0" collapsed="false">
      <c r="A10" s="2" t="n">
        <v>9</v>
      </c>
      <c r="B10" s="3" t="s">
        <v>58</v>
      </c>
      <c r="C10" s="2" t="s">
        <v>48</v>
      </c>
      <c r="D10" s="2" t="n">
        <v>28</v>
      </c>
      <c r="E10" s="4" t="s">
        <v>55</v>
      </c>
      <c r="F10" s="5" t="s">
        <v>59</v>
      </c>
      <c r="G10" s="5" t="s">
        <v>45</v>
      </c>
      <c r="H10" s="2" t="n">
        <f aca="false">1+ISNUMBER(SEARCH("R",F10))+ISNUMBER(SEARCH("G",F10))+ISNUMBER(SEARCH("M",F10))+ISNUMBER(SEARCH("P",F10))+ISNUMBER(SEARCH("D",F10))+ISNUMBER(SEARCH("N",F10))</f>
        <v>6</v>
      </c>
      <c r="I10" s="2" t="n">
        <f aca="false">1+ISNUMBER(SEARCH("R",G10))+ISNUMBER(SEARCH("G",G10))+ISNUMBER(SEARCH("M",G10))+ISNUMBER(SEARCH("P",G10))+ISNUMBER(SEARCH("D",G10))+ISNUMBER(SEARCH("N",G10))</f>
        <v>7</v>
      </c>
      <c r="J10" s="2" t="str">
        <f aca="false">IFERROR(CHOOSE(H10-3,"Svarantara","Audava","Shadava","Sampoorna"),"Other")</f>
        <v>Shadava</v>
      </c>
      <c r="K10" s="2" t="str">
        <f aca="false">IFERROR(CHOOSE(I10-3,"Svarantara","Audava","Shadava","Sampoorna"),"Other")</f>
        <v>Sampoorna</v>
      </c>
      <c r="L10" s="5" t="str">
        <f aca="false">J10&amp;" - "&amp;K10</f>
        <v>Shadava - Sampoorna</v>
      </c>
      <c r="M10" s="2" t="s">
        <v>24</v>
      </c>
      <c r="N10" s="2" t="s">
        <v>25</v>
      </c>
      <c r="O10" s="4" t="s">
        <v>52</v>
      </c>
      <c r="P10" s="2" t="s">
        <v>27</v>
      </c>
      <c r="Q10" s="4" t="s">
        <v>60</v>
      </c>
      <c r="R10" s="2" t="n">
        <v>123</v>
      </c>
      <c r="S10" s="2"/>
    </row>
    <row r="11" customFormat="false" ht="15" hidden="false" customHeight="false" outlineLevel="0" collapsed="false">
      <c r="A11" s="2" t="n">
        <v>10</v>
      </c>
      <c r="B11" s="3" t="s">
        <v>61</v>
      </c>
      <c r="C11" s="2" t="s">
        <v>20</v>
      </c>
      <c r="D11" s="2" t="n">
        <v>56</v>
      </c>
      <c r="E11" s="4" t="s">
        <v>21</v>
      </c>
      <c r="F11" s="5" t="s">
        <v>62</v>
      </c>
      <c r="G11" s="5" t="s">
        <v>63</v>
      </c>
      <c r="H11" s="2" t="n">
        <f aca="false">1+ISNUMBER(SEARCH("R",F11))+ISNUMBER(SEARCH("G",F11))+ISNUMBER(SEARCH("M",F11))+ISNUMBER(SEARCH("P",F11))+ISNUMBER(SEARCH("D",F11))+ISNUMBER(SEARCH("N",F11))</f>
        <v>7</v>
      </c>
      <c r="I11" s="2" t="n">
        <f aca="false">1+ISNUMBER(SEARCH("R",G11))+ISNUMBER(SEARCH("G",G11))+ISNUMBER(SEARCH("M",G11))+ISNUMBER(SEARCH("P",G11))+ISNUMBER(SEARCH("D",G11))+ISNUMBER(SEARCH("N",G11))</f>
        <v>7</v>
      </c>
      <c r="J11" s="2" t="str">
        <f aca="false">IFERROR(CHOOSE(H11-3,"Svarantara","Audava","Shadava","Sampoorna"),"Other")</f>
        <v>Sampoorna</v>
      </c>
      <c r="K11" s="2" t="str">
        <f aca="false">IFERROR(CHOOSE(I11-3,"Svarantara","Audava","Shadava","Sampoorna"),"Other")</f>
        <v>Sampoorna</v>
      </c>
      <c r="L11" s="5" t="str">
        <f aca="false">J11&amp;" - "&amp;K11</f>
        <v>Sampoorna - Sampoorna</v>
      </c>
      <c r="M11" s="2" t="s">
        <v>24</v>
      </c>
      <c r="N11" s="2" t="s">
        <v>25</v>
      </c>
      <c r="O11" s="4" t="s">
        <v>26</v>
      </c>
      <c r="P11" s="2" t="s">
        <v>27</v>
      </c>
      <c r="Q11" s="4" t="s">
        <v>61</v>
      </c>
      <c r="R11" s="2" t="n">
        <v>56</v>
      </c>
      <c r="S11" s="2"/>
    </row>
    <row r="12" customFormat="false" ht="15" hidden="false" customHeight="false" outlineLevel="0" collapsed="false">
      <c r="A12" s="2" t="n">
        <v>11</v>
      </c>
      <c r="B12" s="3" t="s">
        <v>64</v>
      </c>
      <c r="C12" s="2" t="s">
        <v>20</v>
      </c>
      <c r="D12" s="2" t="n">
        <v>26</v>
      </c>
      <c r="E12" s="4" t="s">
        <v>21</v>
      </c>
      <c r="F12" s="5" t="s">
        <v>65</v>
      </c>
      <c r="G12" s="5" t="s">
        <v>66</v>
      </c>
      <c r="H12" s="2" t="n">
        <f aca="false">1+ISNUMBER(SEARCH("R",F12))+ISNUMBER(SEARCH("G",F12))+ISNUMBER(SEARCH("M",F12))+ISNUMBER(SEARCH("P",F12))+ISNUMBER(SEARCH("D",F12))+ISNUMBER(SEARCH("N",F12))</f>
        <v>7</v>
      </c>
      <c r="I12" s="2" t="n">
        <f aca="false">1+ISNUMBER(SEARCH("R",G12))+ISNUMBER(SEARCH("G",G12))+ISNUMBER(SEARCH("M",G12))+ISNUMBER(SEARCH("P",G12))+ISNUMBER(SEARCH("D",G12))+ISNUMBER(SEARCH("N",G12))</f>
        <v>7</v>
      </c>
      <c r="J12" s="2" t="str">
        <f aca="false">IFERROR(CHOOSE(H12-3,"Svarantara","Audava","Shadava","Sampoorna"),"Other")</f>
        <v>Sampoorna</v>
      </c>
      <c r="K12" s="2" t="str">
        <f aca="false">IFERROR(CHOOSE(I12-3,"Svarantara","Audava","Shadava","Sampoorna"),"Other")</f>
        <v>Sampoorna</v>
      </c>
      <c r="L12" s="5" t="str">
        <f aca="false">J12&amp;" - "&amp;K12</f>
        <v>Sampoorna - Sampoorna</v>
      </c>
      <c r="M12" s="2" t="s">
        <v>24</v>
      </c>
      <c r="N12" s="2" t="s">
        <v>25</v>
      </c>
      <c r="O12" s="4" t="s">
        <v>26</v>
      </c>
      <c r="P12" s="2" t="s">
        <v>27</v>
      </c>
      <c r="Q12" s="4" t="s">
        <v>64</v>
      </c>
      <c r="R12" s="2" t="n">
        <v>26</v>
      </c>
      <c r="S12" s="2"/>
    </row>
    <row r="13" customFormat="false" ht="15" hidden="false" customHeight="false" outlineLevel="0" collapsed="false">
      <c r="A13" s="2" t="n">
        <v>12</v>
      </c>
      <c r="B13" s="3" t="s">
        <v>67</v>
      </c>
      <c r="C13" s="2" t="s">
        <v>20</v>
      </c>
      <c r="D13" s="2" t="n">
        <v>20</v>
      </c>
      <c r="E13" s="4" t="s">
        <v>21</v>
      </c>
      <c r="F13" s="5" t="s">
        <v>50</v>
      </c>
      <c r="G13" s="5" t="s">
        <v>51</v>
      </c>
      <c r="H13" s="2" t="n">
        <f aca="false">1+ISNUMBER(SEARCH("R",F13))+ISNUMBER(SEARCH("G",F13))+ISNUMBER(SEARCH("M",F13))+ISNUMBER(SEARCH("P",F13))+ISNUMBER(SEARCH("D",F13))+ISNUMBER(SEARCH("N",F13))</f>
        <v>7</v>
      </c>
      <c r="I13" s="2" t="n">
        <f aca="false">1+ISNUMBER(SEARCH("R",G13))+ISNUMBER(SEARCH("G",G13))+ISNUMBER(SEARCH("M",G13))+ISNUMBER(SEARCH("P",G13))+ISNUMBER(SEARCH("D",G13))+ISNUMBER(SEARCH("N",G13))</f>
        <v>7</v>
      </c>
      <c r="J13" s="2" t="str">
        <f aca="false">IFERROR(CHOOSE(H13-3,"Svarantara","Audava","Shadava","Sampoorna"),"Other")</f>
        <v>Sampoorna</v>
      </c>
      <c r="K13" s="2" t="str">
        <f aca="false">IFERROR(CHOOSE(I13-3,"Svarantara","Audava","Shadava","Sampoorna"),"Other")</f>
        <v>Sampoorna</v>
      </c>
      <c r="L13" s="5" t="str">
        <f aca="false">J13&amp;" - "&amp;K13</f>
        <v>Sampoorna - Sampoorna</v>
      </c>
      <c r="M13" s="2" t="s">
        <v>24</v>
      </c>
      <c r="N13" s="2" t="s">
        <v>25</v>
      </c>
      <c r="O13" s="4" t="s">
        <v>26</v>
      </c>
      <c r="P13" s="2" t="s">
        <v>27</v>
      </c>
      <c r="Q13" s="4" t="s">
        <v>68</v>
      </c>
      <c r="R13" s="2" t="n">
        <v>20</v>
      </c>
      <c r="S13" s="2"/>
    </row>
    <row r="14" customFormat="false" ht="15" hidden="false" customHeight="false" outlineLevel="0" collapsed="false">
      <c r="A14" s="2" t="n">
        <v>13</v>
      </c>
      <c r="B14" s="3" t="s">
        <v>69</v>
      </c>
      <c r="C14" s="2" t="s">
        <v>20</v>
      </c>
      <c r="D14" s="2" t="n">
        <v>21</v>
      </c>
      <c r="E14" s="4" t="s">
        <v>21</v>
      </c>
      <c r="F14" s="5" t="s">
        <v>70</v>
      </c>
      <c r="G14" s="5" t="s">
        <v>71</v>
      </c>
      <c r="H14" s="2" t="n">
        <f aca="false">1+ISNUMBER(SEARCH("R",F14))+ISNUMBER(SEARCH("G",F14))+ISNUMBER(SEARCH("M",F14))+ISNUMBER(SEARCH("P",F14))+ISNUMBER(SEARCH("D",F14))+ISNUMBER(SEARCH("N",F14))</f>
        <v>7</v>
      </c>
      <c r="I14" s="2" t="n">
        <f aca="false">1+ISNUMBER(SEARCH("R",G14))+ISNUMBER(SEARCH("G",G14))+ISNUMBER(SEARCH("M",G14))+ISNUMBER(SEARCH("P",G14))+ISNUMBER(SEARCH("D",G14))+ISNUMBER(SEARCH("N",G14))</f>
        <v>7</v>
      </c>
      <c r="J14" s="2" t="str">
        <f aca="false">IFERROR(CHOOSE(H14-3,"Svarantara","Audava","Shadava","Sampoorna"),"Other")</f>
        <v>Sampoorna</v>
      </c>
      <c r="K14" s="2" t="str">
        <f aca="false">IFERROR(CHOOSE(I14-3,"Svarantara","Audava","Shadava","Sampoorna"),"Other")</f>
        <v>Sampoorna</v>
      </c>
      <c r="L14" s="5" t="str">
        <f aca="false">J14&amp;" - "&amp;K14</f>
        <v>Sampoorna - Sampoorna</v>
      </c>
      <c r="M14" s="2" t="s">
        <v>24</v>
      </c>
      <c r="N14" s="2" t="s">
        <v>25</v>
      </c>
      <c r="O14" s="4" t="s">
        <v>26</v>
      </c>
      <c r="P14" s="2" t="s">
        <v>27</v>
      </c>
      <c r="Q14" s="4"/>
      <c r="R14" s="2" t="n">
        <v>21</v>
      </c>
      <c r="S14" s="2"/>
    </row>
    <row r="15" customFormat="false" ht="23.85" hidden="false" customHeight="false" outlineLevel="0" collapsed="false">
      <c r="A15" s="2" t="n">
        <v>14</v>
      </c>
      <c r="B15" s="3" t="s">
        <v>72</v>
      </c>
      <c r="C15" s="2" t="s">
        <v>48</v>
      </c>
      <c r="D15" s="2" t="n">
        <v>29</v>
      </c>
      <c r="E15" s="4" t="s">
        <v>73</v>
      </c>
      <c r="F15" s="5" t="s">
        <v>74</v>
      </c>
      <c r="G15" s="5" t="s">
        <v>34</v>
      </c>
      <c r="H15" s="2" t="n">
        <f aca="false">1+ISNUMBER(SEARCH("R",F15))+ISNUMBER(SEARCH("G",F15))+ISNUMBER(SEARCH("M",F15))+ISNUMBER(SEARCH("P",F15))+ISNUMBER(SEARCH("D",F15))+ISNUMBER(SEARCH("N",F15))</f>
        <v>6</v>
      </c>
      <c r="I15" s="2" t="n">
        <f aca="false">1+ISNUMBER(SEARCH("R",G15))+ISNUMBER(SEARCH("G",G15))+ISNUMBER(SEARCH("M",G15))+ISNUMBER(SEARCH("P",G15))+ISNUMBER(SEARCH("D",G15))+ISNUMBER(SEARCH("N",G15))</f>
        <v>7</v>
      </c>
      <c r="J15" s="2" t="str">
        <f aca="false">IFERROR(CHOOSE(H15-3,"Svarantara","Audava","Shadava","Sampoorna"),"Other")</f>
        <v>Shadava</v>
      </c>
      <c r="K15" s="2" t="str">
        <f aca="false">IFERROR(CHOOSE(I15-3,"Svarantara","Audava","Shadava","Sampoorna"),"Other")</f>
        <v>Sampoorna</v>
      </c>
      <c r="L15" s="5" t="str">
        <f aca="false">J15&amp;" - "&amp;K15</f>
        <v>Shadava - Sampoorna</v>
      </c>
      <c r="M15" s="2" t="s">
        <v>75</v>
      </c>
      <c r="N15" s="2" t="s">
        <v>25</v>
      </c>
      <c r="O15" s="4" t="s">
        <v>76</v>
      </c>
      <c r="P15" s="2" t="s">
        <v>27</v>
      </c>
      <c r="Q15" s="4" t="s">
        <v>77</v>
      </c>
      <c r="R15" s="2" t="n">
        <v>154</v>
      </c>
      <c r="S15" s="2"/>
    </row>
    <row r="16" customFormat="false" ht="23.85" hidden="false" customHeight="false" outlineLevel="0" collapsed="false">
      <c r="A16" s="2" t="n">
        <v>15</v>
      </c>
      <c r="B16" s="3" t="s">
        <v>78</v>
      </c>
      <c r="C16" s="2" t="s">
        <v>48</v>
      </c>
      <c r="D16" s="2" t="n">
        <v>29</v>
      </c>
      <c r="E16" s="4" t="s">
        <v>73</v>
      </c>
      <c r="F16" s="5" t="s">
        <v>56</v>
      </c>
      <c r="G16" s="5" t="s">
        <v>34</v>
      </c>
      <c r="H16" s="2" t="n">
        <f aca="false">1+ISNUMBER(SEARCH("R",F16))+ISNUMBER(SEARCH("G",F16))+ISNUMBER(SEARCH("M",F16))+ISNUMBER(SEARCH("P",F16))+ISNUMBER(SEARCH("D",F16))+ISNUMBER(SEARCH("N",F16))</f>
        <v>5</v>
      </c>
      <c r="I16" s="2" t="n">
        <f aca="false">1+ISNUMBER(SEARCH("R",G16))+ISNUMBER(SEARCH("G",G16))+ISNUMBER(SEARCH("M",G16))+ISNUMBER(SEARCH("P",G16))+ISNUMBER(SEARCH("D",G16))+ISNUMBER(SEARCH("N",G16))</f>
        <v>7</v>
      </c>
      <c r="J16" s="2" t="str">
        <f aca="false">IFERROR(CHOOSE(H16-3,"Svarantara","Audava","Shadava","Sampoorna"),"Other")</f>
        <v>Audava</v>
      </c>
      <c r="K16" s="2" t="str">
        <f aca="false">IFERROR(CHOOSE(I16-3,"Svarantara","Audava","Shadava","Sampoorna"),"Other")</f>
        <v>Sampoorna</v>
      </c>
      <c r="L16" s="5" t="str">
        <f aca="false">J16&amp;" - "&amp;K16</f>
        <v>Audava - Sampoorna</v>
      </c>
      <c r="M16" s="2" t="s">
        <v>24</v>
      </c>
      <c r="N16" s="2" t="s">
        <v>25</v>
      </c>
      <c r="O16" s="4" t="s">
        <v>52</v>
      </c>
      <c r="P16" s="2" t="s">
        <v>27</v>
      </c>
      <c r="Q16" s="4" t="s">
        <v>79</v>
      </c>
      <c r="R16" s="2" t="n">
        <v>140</v>
      </c>
      <c r="S16" s="2"/>
    </row>
    <row r="17" customFormat="false" ht="23.85" hidden="false" customHeight="false" outlineLevel="0" collapsed="false">
      <c r="A17" s="2" t="n">
        <v>16</v>
      </c>
      <c r="B17" s="3" t="s">
        <v>80</v>
      </c>
      <c r="C17" s="2" t="s">
        <v>48</v>
      </c>
      <c r="D17" s="2" t="n">
        <v>29</v>
      </c>
      <c r="E17" s="4" t="s">
        <v>73</v>
      </c>
      <c r="F17" s="5" t="s">
        <v>81</v>
      </c>
      <c r="G17" s="5" t="s">
        <v>82</v>
      </c>
      <c r="H17" s="2" t="n">
        <f aca="false">1+ISNUMBER(SEARCH("R",F17))+ISNUMBER(SEARCH("G",F17))+ISNUMBER(SEARCH("M",F17))+ISNUMBER(SEARCH("P",F17))+ISNUMBER(SEARCH("D",F17))+ISNUMBER(SEARCH("N",F17))</f>
        <v>5</v>
      </c>
      <c r="I17" s="2" t="n">
        <f aca="false">1+ISNUMBER(SEARCH("R",G17))+ISNUMBER(SEARCH("G",G17))+ISNUMBER(SEARCH("M",G17))+ISNUMBER(SEARCH("P",G17))+ISNUMBER(SEARCH("D",G17))+ISNUMBER(SEARCH("N",G17))</f>
        <v>5</v>
      </c>
      <c r="J17" s="2" t="str">
        <f aca="false">IFERROR(CHOOSE(H17-3,"Svarantara","Audava","Shadava","Sampoorna"),"Other")</f>
        <v>Audava</v>
      </c>
      <c r="K17" s="2" t="str">
        <f aca="false">IFERROR(CHOOSE(I17-3,"Svarantara","Audava","Shadava","Sampoorna"),"Other")</f>
        <v>Audava</v>
      </c>
      <c r="L17" s="5" t="str">
        <f aca="false">J17&amp;" - "&amp;K17</f>
        <v>Audava - Audava</v>
      </c>
      <c r="M17" s="2" t="s">
        <v>24</v>
      </c>
      <c r="N17" s="2" t="s">
        <v>25</v>
      </c>
      <c r="O17" s="4" t="s">
        <v>52</v>
      </c>
      <c r="P17" s="2" t="s">
        <v>27</v>
      </c>
      <c r="Q17" s="4"/>
      <c r="R17" s="2" t="n">
        <v>141</v>
      </c>
      <c r="S17" s="2"/>
    </row>
    <row r="18" customFormat="false" ht="15" hidden="false" customHeight="false" outlineLevel="0" collapsed="false">
      <c r="A18" s="2" t="n">
        <v>17</v>
      </c>
      <c r="B18" s="3" t="s">
        <v>83</v>
      </c>
      <c r="C18" s="2" t="s">
        <v>48</v>
      </c>
      <c r="D18" s="2" t="n">
        <v>15</v>
      </c>
      <c r="E18" s="4" t="s">
        <v>84</v>
      </c>
      <c r="F18" s="5" t="s">
        <v>85</v>
      </c>
      <c r="G18" s="5" t="s">
        <v>86</v>
      </c>
      <c r="H18" s="2" t="n">
        <f aca="false">1+ISNUMBER(SEARCH("R",F18))+ISNUMBER(SEARCH("G",F18))+ISNUMBER(SEARCH("M",F18))+ISNUMBER(SEARCH("P",F18))+ISNUMBER(SEARCH("D",F18))+ISNUMBER(SEARCH("N",F18))</f>
        <v>5</v>
      </c>
      <c r="I18" s="2" t="n">
        <f aca="false">1+ISNUMBER(SEARCH("R",G18))+ISNUMBER(SEARCH("G",G18))+ISNUMBER(SEARCH("M",G18))+ISNUMBER(SEARCH("P",G18))+ISNUMBER(SEARCH("D",G18))+ISNUMBER(SEARCH("N",G18))</f>
        <v>7</v>
      </c>
      <c r="J18" s="2" t="str">
        <f aca="false">IFERROR(CHOOSE(H18-3,"Svarantara","Audava","Shadava","Sampoorna"),"Other")</f>
        <v>Audava</v>
      </c>
      <c r="K18" s="2" t="str">
        <f aca="false">IFERROR(CHOOSE(I18-3,"Svarantara","Audava","Shadava","Sampoorna"),"Other")</f>
        <v>Sampoorna</v>
      </c>
      <c r="L18" s="5" t="str">
        <f aca="false">J18&amp;" - "&amp;K18</f>
        <v>Audava - Sampoorna</v>
      </c>
      <c r="M18" s="2" t="s">
        <v>24</v>
      </c>
      <c r="N18" s="2" t="s">
        <v>25</v>
      </c>
      <c r="O18" s="4" t="s">
        <v>52</v>
      </c>
      <c r="P18" s="2" t="s">
        <v>27</v>
      </c>
      <c r="Q18" s="4" t="s">
        <v>87</v>
      </c>
      <c r="R18" s="2" t="n">
        <v>90</v>
      </c>
      <c r="S18" s="2"/>
    </row>
    <row r="19" customFormat="false" ht="15" hidden="false" customHeight="false" outlineLevel="0" collapsed="false">
      <c r="A19" s="2" t="n">
        <v>18</v>
      </c>
      <c r="B19" s="3" t="s">
        <v>88</v>
      </c>
      <c r="C19" s="2" t="s">
        <v>48</v>
      </c>
      <c r="D19" s="2" t="n">
        <v>22</v>
      </c>
      <c r="E19" s="4" t="s">
        <v>89</v>
      </c>
      <c r="F19" s="5" t="s">
        <v>90</v>
      </c>
      <c r="G19" s="5" t="s">
        <v>91</v>
      </c>
      <c r="H19" s="2" t="n">
        <f aca="false">1+ISNUMBER(SEARCH("R",F19))+ISNUMBER(SEARCH("G",F19))+ISNUMBER(SEARCH("M",F19))+ISNUMBER(SEARCH("P",F19))+ISNUMBER(SEARCH("D",F19))+ISNUMBER(SEARCH("N",F19))</f>
        <v>5</v>
      </c>
      <c r="I19" s="2" t="n">
        <f aca="false">1+ISNUMBER(SEARCH("R",G19))+ISNUMBER(SEARCH("G",G19))+ISNUMBER(SEARCH("M",G19))+ISNUMBER(SEARCH("P",G19))+ISNUMBER(SEARCH("D",G19))+ISNUMBER(SEARCH("N",G19))</f>
        <v>5</v>
      </c>
      <c r="J19" s="2" t="str">
        <f aca="false">IFERROR(CHOOSE(H19-3,"Svarantara","Audava","Shadava","Sampoorna"),"Other")</f>
        <v>Audava</v>
      </c>
      <c r="K19" s="2" t="str">
        <f aca="false">IFERROR(CHOOSE(I19-3,"Svarantara","Audava","Shadava","Sampoorna"),"Other")</f>
        <v>Audava</v>
      </c>
      <c r="L19" s="5" t="str">
        <f aca="false">J19&amp;" - "&amp;K19</f>
        <v>Audava - Audava</v>
      </c>
      <c r="M19" s="2" t="s">
        <v>24</v>
      </c>
      <c r="N19" s="2" t="s">
        <v>25</v>
      </c>
      <c r="O19" s="4" t="s">
        <v>52</v>
      </c>
      <c r="P19" s="2" t="s">
        <v>27</v>
      </c>
      <c r="Q19" s="4"/>
      <c r="R19" s="2" t="n">
        <v>113</v>
      </c>
      <c r="S19" s="2"/>
    </row>
    <row r="20" customFormat="false" ht="23.85" hidden="false" customHeight="false" outlineLevel="0" collapsed="false">
      <c r="A20" s="2" t="n">
        <v>19</v>
      </c>
      <c r="B20" s="3" t="s">
        <v>92</v>
      </c>
      <c r="C20" s="2" t="s">
        <v>48</v>
      </c>
      <c r="D20" s="2" t="n">
        <v>20</v>
      </c>
      <c r="E20" s="4" t="s">
        <v>49</v>
      </c>
      <c r="F20" s="5" t="s">
        <v>93</v>
      </c>
      <c r="G20" s="5" t="s">
        <v>51</v>
      </c>
      <c r="H20" s="2" t="n">
        <f aca="false">1+ISNUMBER(SEARCH("R",F20))+ISNUMBER(SEARCH("G",F20))+ISNUMBER(SEARCH("M",F20))+ISNUMBER(SEARCH("P",F20))+ISNUMBER(SEARCH("D",F20))+ISNUMBER(SEARCH("N",F20))</f>
        <v>6</v>
      </c>
      <c r="I20" s="2" t="n">
        <f aca="false">1+ISNUMBER(SEARCH("R",G20))+ISNUMBER(SEARCH("G",G20))+ISNUMBER(SEARCH("M",G20))+ISNUMBER(SEARCH("P",G20))+ISNUMBER(SEARCH("D",G20))+ISNUMBER(SEARCH("N",G20))</f>
        <v>7</v>
      </c>
      <c r="J20" s="2" t="str">
        <f aca="false">IFERROR(CHOOSE(H20-3,"Svarantara","Audava","Shadava","Sampoorna"),"Other")</f>
        <v>Shadava</v>
      </c>
      <c r="K20" s="2" t="str">
        <f aca="false">IFERROR(CHOOSE(I20-3,"Svarantara","Audava","Shadava","Sampoorna"),"Other")</f>
        <v>Sampoorna</v>
      </c>
      <c r="L20" s="5" t="str">
        <f aca="false">J20&amp;" - "&amp;K20</f>
        <v>Shadava - Sampoorna</v>
      </c>
      <c r="M20" s="2" t="s">
        <v>75</v>
      </c>
      <c r="N20" s="2" t="s">
        <v>25</v>
      </c>
      <c r="O20" s="4" t="s">
        <v>94</v>
      </c>
      <c r="P20" s="6" t="s">
        <v>95</v>
      </c>
      <c r="Q20" s="4" t="s">
        <v>96</v>
      </c>
      <c r="R20" s="2" t="n">
        <v>101</v>
      </c>
      <c r="S20" s="2"/>
    </row>
    <row r="21" customFormat="false" ht="15" hidden="false" customHeight="false" outlineLevel="0" collapsed="false">
      <c r="A21" s="2" t="n">
        <v>20</v>
      </c>
      <c r="B21" s="3" t="s">
        <v>97</v>
      </c>
      <c r="C21" s="2" t="s">
        <v>48</v>
      </c>
      <c r="D21" s="2" t="n">
        <v>20</v>
      </c>
      <c r="E21" s="4" t="s">
        <v>49</v>
      </c>
      <c r="F21" s="5" t="s">
        <v>98</v>
      </c>
      <c r="G21" s="5" t="s">
        <v>99</v>
      </c>
      <c r="H21" s="2" t="n">
        <f aca="false">1+ISNUMBER(SEARCH("R",F21))+ISNUMBER(SEARCH("G",F21))+ISNUMBER(SEARCH("M",F21))+ISNUMBER(SEARCH("P",F21))+ISNUMBER(SEARCH("D",F21))+ISNUMBER(SEARCH("N",F21))</f>
        <v>5</v>
      </c>
      <c r="I21" s="2" t="n">
        <f aca="false">1+ISNUMBER(SEARCH("R",G21))+ISNUMBER(SEARCH("G",G21))+ISNUMBER(SEARCH("M",G21))+ISNUMBER(SEARCH("P",G21))+ISNUMBER(SEARCH("D",G21))+ISNUMBER(SEARCH("N",G21))</f>
        <v>5</v>
      </c>
      <c r="J21" s="2" t="str">
        <f aca="false">IFERROR(CHOOSE(H21-3,"Svarantara","Audava","Shadava","Sampoorna"),"Other")</f>
        <v>Audava</v>
      </c>
      <c r="K21" s="2" t="str">
        <f aca="false">IFERROR(CHOOSE(I21-3,"Svarantara","Audava","Shadava","Sampoorna"),"Other")</f>
        <v>Audava</v>
      </c>
      <c r="L21" s="5" t="str">
        <f aca="false">J21&amp;" - "&amp;K21</f>
        <v>Audava - Audava</v>
      </c>
      <c r="M21" s="2" t="s">
        <v>24</v>
      </c>
      <c r="N21" s="2" t="s">
        <v>25</v>
      </c>
      <c r="O21" s="4" t="s">
        <v>52</v>
      </c>
      <c r="P21" s="2" t="s">
        <v>27</v>
      </c>
      <c r="Q21" s="4"/>
      <c r="R21" s="2" t="n">
        <v>102</v>
      </c>
      <c r="S21" s="2"/>
    </row>
    <row r="22" customFormat="false" ht="15" hidden="false" customHeight="false" outlineLevel="0" collapsed="false">
      <c r="A22" s="2" t="n">
        <v>21</v>
      </c>
      <c r="B22" s="3" t="s">
        <v>100</v>
      </c>
      <c r="C22" s="2" t="s">
        <v>48</v>
      </c>
      <c r="D22" s="2" t="n">
        <v>28</v>
      </c>
      <c r="E22" s="4" t="s">
        <v>55</v>
      </c>
      <c r="F22" s="5" t="s">
        <v>101</v>
      </c>
      <c r="G22" s="5" t="s">
        <v>102</v>
      </c>
      <c r="H22" s="2" t="n">
        <f aca="false">1+ISNUMBER(SEARCH("R",F22))+ISNUMBER(SEARCH("G",F22))+ISNUMBER(SEARCH("M",F22))+ISNUMBER(SEARCH("P",F22))+ISNUMBER(SEARCH("D",F22))+ISNUMBER(SEARCH("N",F22))</f>
        <v>7</v>
      </c>
      <c r="I22" s="2" t="n">
        <f aca="false">1+ISNUMBER(SEARCH("R",G22))+ISNUMBER(SEARCH("G",G22))+ISNUMBER(SEARCH("M",G22))+ISNUMBER(SEARCH("P",G22))+ISNUMBER(SEARCH("D",G22))+ISNUMBER(SEARCH("N",G22))</f>
        <v>7</v>
      </c>
      <c r="J22" s="2" t="str">
        <f aca="false">IFERROR(CHOOSE(H22-3,"Svarantara","Audava","Shadava","Sampoorna"),"Other")</f>
        <v>Sampoorna</v>
      </c>
      <c r="K22" s="2" t="str">
        <f aca="false">IFERROR(CHOOSE(I22-3,"Svarantara","Audava","Shadava","Sampoorna"),"Other")</f>
        <v>Sampoorna</v>
      </c>
      <c r="L22" s="5" t="str">
        <f aca="false">J22&amp;" - "&amp;K22</f>
        <v>Sampoorna - Sampoorna</v>
      </c>
      <c r="M22" s="2" t="s">
        <v>75</v>
      </c>
      <c r="N22" s="2" t="s">
        <v>25</v>
      </c>
      <c r="O22" s="4" t="s">
        <v>103</v>
      </c>
      <c r="P22" s="2" t="s">
        <v>27</v>
      </c>
      <c r="Q22" s="4" t="s">
        <v>104</v>
      </c>
      <c r="R22" s="2" t="n">
        <v>126</v>
      </c>
      <c r="S22" s="2"/>
    </row>
    <row r="23" customFormat="false" ht="15" hidden="false" customHeight="false" outlineLevel="0" collapsed="false">
      <c r="A23" s="2" t="n">
        <v>22</v>
      </c>
      <c r="B23" s="3" t="s">
        <v>105</v>
      </c>
      <c r="C23" s="2" t="s">
        <v>48</v>
      </c>
      <c r="D23" s="2" t="n">
        <v>22</v>
      </c>
      <c r="E23" s="4" t="s">
        <v>89</v>
      </c>
      <c r="F23" s="5" t="s">
        <v>106</v>
      </c>
      <c r="G23" s="5" t="s">
        <v>107</v>
      </c>
      <c r="H23" s="2" t="n">
        <f aca="false">1+ISNUMBER(SEARCH("R",F23))+ISNUMBER(SEARCH("G",F23))+ISNUMBER(SEARCH("M",F23))+ISNUMBER(SEARCH("P",F23))+ISNUMBER(SEARCH("D",F23))+ISNUMBER(SEARCH("N",F23))</f>
        <v>5</v>
      </c>
      <c r="I23" s="2" t="n">
        <f aca="false">1+ISNUMBER(SEARCH("R",G23))+ISNUMBER(SEARCH("G",G23))+ISNUMBER(SEARCH("M",G23))+ISNUMBER(SEARCH("P",G23))+ISNUMBER(SEARCH("D",G23))+ISNUMBER(SEARCH("N",G23))</f>
        <v>7</v>
      </c>
      <c r="J23" s="2" t="str">
        <f aca="false">IFERROR(CHOOSE(H23-3,"Svarantara","Audava","Shadava","Sampoorna"),"Other")</f>
        <v>Audava</v>
      </c>
      <c r="K23" s="2" t="str">
        <f aca="false">IFERROR(CHOOSE(I23-3,"Svarantara","Audava","Shadava","Sampoorna"),"Other")</f>
        <v>Sampoorna</v>
      </c>
      <c r="L23" s="5" t="str">
        <f aca="false">J23&amp;" - "&amp;K23</f>
        <v>Audava - Sampoorna</v>
      </c>
      <c r="M23" s="2" t="s">
        <v>75</v>
      </c>
      <c r="N23" s="2" t="s">
        <v>25</v>
      </c>
      <c r="O23" s="4" t="s">
        <v>76</v>
      </c>
      <c r="P23" s="2" t="s">
        <v>27</v>
      </c>
      <c r="Q23" s="4" t="s">
        <v>108</v>
      </c>
      <c r="R23" s="2" t="n">
        <v>111</v>
      </c>
      <c r="S23" s="2"/>
    </row>
    <row r="24" customFormat="false" ht="15" hidden="false" customHeight="false" outlineLevel="0" collapsed="false">
      <c r="A24" s="2" t="n">
        <v>23</v>
      </c>
      <c r="B24" s="3" t="s">
        <v>109</v>
      </c>
      <c r="C24" s="2" t="s">
        <v>48</v>
      </c>
      <c r="D24" s="2" t="n">
        <v>22</v>
      </c>
      <c r="E24" s="4" t="s">
        <v>89</v>
      </c>
      <c r="F24" s="5" t="s">
        <v>110</v>
      </c>
      <c r="G24" s="5" t="s">
        <v>111</v>
      </c>
      <c r="H24" s="2" t="n">
        <f aca="false">1+ISNUMBER(SEARCH("R",F24))+ISNUMBER(SEARCH("G",F24))+ISNUMBER(SEARCH("M",F24))+ISNUMBER(SEARCH("P",F24))+ISNUMBER(SEARCH("D",F24))+ISNUMBER(SEARCH("N",F24))</f>
        <v>5</v>
      </c>
      <c r="I24" s="2" t="n">
        <f aca="false">1+ISNUMBER(SEARCH("R",G24))+ISNUMBER(SEARCH("G",G24))+ISNUMBER(SEARCH("M",G24))+ISNUMBER(SEARCH("P",G24))+ISNUMBER(SEARCH("D",G24))+ISNUMBER(SEARCH("N",G24))</f>
        <v>5</v>
      </c>
      <c r="J24" s="2" t="str">
        <f aca="false">IFERROR(CHOOSE(H24-3,"Svarantara","Audava","Shadava","Sampoorna"),"Other")</f>
        <v>Audava</v>
      </c>
      <c r="K24" s="2" t="str">
        <f aca="false">IFERROR(CHOOSE(I24-3,"Svarantara","Audava","Shadava","Sampoorna"),"Other")</f>
        <v>Audava</v>
      </c>
      <c r="L24" s="5" t="str">
        <f aca="false">J24&amp;" - "&amp;K24</f>
        <v>Audava - Audava</v>
      </c>
      <c r="M24" s="2" t="s">
        <v>24</v>
      </c>
      <c r="N24" s="2" t="s">
        <v>25</v>
      </c>
      <c r="O24" s="4" t="s">
        <v>52</v>
      </c>
      <c r="P24" s="2" t="s">
        <v>27</v>
      </c>
      <c r="Q24" s="4"/>
      <c r="R24" s="2" t="n">
        <v>120</v>
      </c>
      <c r="S24" s="2"/>
    </row>
    <row r="25" customFormat="false" ht="23.85" hidden="false" customHeight="false" outlineLevel="0" collapsed="false">
      <c r="A25" s="2" t="n">
        <v>24</v>
      </c>
      <c r="B25" s="3" t="s">
        <v>112</v>
      </c>
      <c r="C25" s="2" t="s">
        <v>48</v>
      </c>
      <c r="D25" s="2" t="n">
        <v>29</v>
      </c>
      <c r="E25" s="4" t="s">
        <v>73</v>
      </c>
      <c r="F25" s="5" t="s">
        <v>113</v>
      </c>
      <c r="G25" s="5" t="s">
        <v>34</v>
      </c>
      <c r="H25" s="2" t="n">
        <f aca="false">1+ISNUMBER(SEARCH("R",F25))+ISNUMBER(SEARCH("G",F25))+ISNUMBER(SEARCH("M",F25))+ISNUMBER(SEARCH("P",F25))+ISNUMBER(SEARCH("D",F25))+ISNUMBER(SEARCH("N",F25))</f>
        <v>5</v>
      </c>
      <c r="I25" s="2" t="n">
        <f aca="false">1+ISNUMBER(SEARCH("R",G25))+ISNUMBER(SEARCH("G",G25))+ISNUMBER(SEARCH("M",G25))+ISNUMBER(SEARCH("P",G25))+ISNUMBER(SEARCH("D",G25))+ISNUMBER(SEARCH("N",G25))</f>
        <v>7</v>
      </c>
      <c r="J25" s="2" t="str">
        <f aca="false">IFERROR(CHOOSE(H25-3,"Svarantara","Audava","Shadava","Sampoorna"),"Other")</f>
        <v>Audava</v>
      </c>
      <c r="K25" s="2" t="str">
        <f aca="false">IFERROR(CHOOSE(I25-3,"Svarantara","Audava","Shadava","Sampoorna"),"Other")</f>
        <v>Sampoorna</v>
      </c>
      <c r="L25" s="5" t="str">
        <f aca="false">J25&amp;" - "&amp;K25</f>
        <v>Audava - Sampoorna</v>
      </c>
      <c r="M25" s="2" t="s">
        <v>24</v>
      </c>
      <c r="N25" s="2" t="s">
        <v>25</v>
      </c>
      <c r="O25" s="4" t="s">
        <v>52</v>
      </c>
      <c r="P25" s="2" t="s">
        <v>27</v>
      </c>
      <c r="Q25" s="4" t="s">
        <v>114</v>
      </c>
      <c r="R25" s="2" t="n">
        <v>142</v>
      </c>
      <c r="S25" s="2"/>
    </row>
    <row r="26" customFormat="false" ht="23.85" hidden="false" customHeight="false" outlineLevel="0" collapsed="false">
      <c r="A26" s="2" t="n">
        <v>25</v>
      </c>
      <c r="B26" s="3" t="s">
        <v>115</v>
      </c>
      <c r="C26" s="2" t="s">
        <v>48</v>
      </c>
      <c r="D26" s="2" t="n">
        <v>29</v>
      </c>
      <c r="E26" s="4" t="s">
        <v>73</v>
      </c>
      <c r="F26" s="5" t="s">
        <v>90</v>
      </c>
      <c r="G26" s="5" t="s">
        <v>116</v>
      </c>
      <c r="H26" s="2" t="n">
        <f aca="false">1+ISNUMBER(SEARCH("R",F26))+ISNUMBER(SEARCH("G",F26))+ISNUMBER(SEARCH("M",F26))+ISNUMBER(SEARCH("P",F26))+ISNUMBER(SEARCH("D",F26))+ISNUMBER(SEARCH("N",F26))</f>
        <v>5</v>
      </c>
      <c r="I26" s="2" t="n">
        <f aca="false">1+ISNUMBER(SEARCH("R",G26))+ISNUMBER(SEARCH("G",G26))+ISNUMBER(SEARCH("M",G26))+ISNUMBER(SEARCH("P",G26))+ISNUMBER(SEARCH("D",G26))+ISNUMBER(SEARCH("N",G26))</f>
        <v>7</v>
      </c>
      <c r="J26" s="2" t="str">
        <f aca="false">IFERROR(CHOOSE(H26-3,"Svarantara","Audava","Shadava","Sampoorna"),"Other")</f>
        <v>Audava</v>
      </c>
      <c r="K26" s="2" t="str">
        <f aca="false">IFERROR(CHOOSE(I26-3,"Svarantara","Audava","Shadava","Sampoorna"),"Other")</f>
        <v>Sampoorna</v>
      </c>
      <c r="L26" s="5" t="str">
        <f aca="false">J26&amp;" - "&amp;K26</f>
        <v>Audava - Sampoorna</v>
      </c>
      <c r="M26" s="2" t="s">
        <v>75</v>
      </c>
      <c r="N26" s="2" t="s">
        <v>25</v>
      </c>
      <c r="O26" s="4" t="s">
        <v>76</v>
      </c>
      <c r="P26" s="2" t="s">
        <v>27</v>
      </c>
      <c r="Q26" s="4" t="s">
        <v>117</v>
      </c>
      <c r="R26" s="2" t="n">
        <v>144</v>
      </c>
      <c r="S26" s="2"/>
    </row>
    <row r="27" customFormat="false" ht="23.85" hidden="false" customHeight="false" outlineLevel="0" collapsed="false">
      <c r="A27" s="2" t="n">
        <v>26</v>
      </c>
      <c r="B27" s="3" t="s">
        <v>118</v>
      </c>
      <c r="C27" s="2" t="s">
        <v>48</v>
      </c>
      <c r="D27" s="2" t="n">
        <v>29</v>
      </c>
      <c r="E27" s="4" t="s">
        <v>73</v>
      </c>
      <c r="F27" s="5" t="s">
        <v>119</v>
      </c>
      <c r="G27" s="5" t="s">
        <v>34</v>
      </c>
      <c r="H27" s="2" t="n">
        <f aca="false">1+ISNUMBER(SEARCH("R",F27))+ISNUMBER(SEARCH("G",F27))+ISNUMBER(SEARCH("M",F27))+ISNUMBER(SEARCH("P",F27))+ISNUMBER(SEARCH("D",F27))+ISNUMBER(SEARCH("N",F27))</f>
        <v>6</v>
      </c>
      <c r="I27" s="2" t="n">
        <f aca="false">1+ISNUMBER(SEARCH("R",G27))+ISNUMBER(SEARCH("G",G27))+ISNUMBER(SEARCH("M",G27))+ISNUMBER(SEARCH("P",G27))+ISNUMBER(SEARCH("D",G27))+ISNUMBER(SEARCH("N",G27))</f>
        <v>7</v>
      </c>
      <c r="J27" s="2" t="str">
        <f aca="false">IFERROR(CHOOSE(H27-3,"Svarantara","Audava","Shadava","Sampoorna"),"Other")</f>
        <v>Shadava</v>
      </c>
      <c r="K27" s="2" t="str">
        <f aca="false">IFERROR(CHOOSE(I27-3,"Svarantara","Audava","Shadava","Sampoorna"),"Other")</f>
        <v>Sampoorna</v>
      </c>
      <c r="L27" s="5" t="str">
        <f aca="false">J27&amp;" - "&amp;K27</f>
        <v>Shadava - Sampoorna</v>
      </c>
      <c r="M27" s="2" t="s">
        <v>75</v>
      </c>
      <c r="N27" s="2" t="s">
        <v>25</v>
      </c>
      <c r="O27" s="4" t="s">
        <v>76</v>
      </c>
      <c r="P27" s="2" t="s">
        <v>27</v>
      </c>
      <c r="Q27" s="4" t="s">
        <v>120</v>
      </c>
      <c r="R27" s="2" t="n">
        <v>148</v>
      </c>
      <c r="S27" s="2"/>
    </row>
    <row r="28" customFormat="false" ht="15" hidden="false" customHeight="false" outlineLevel="0" collapsed="false">
      <c r="A28" s="2" t="n">
        <v>27</v>
      </c>
      <c r="B28" s="3" t="s">
        <v>121</v>
      </c>
      <c r="C28" s="2" t="s">
        <v>48</v>
      </c>
      <c r="D28" s="2" t="n">
        <v>22</v>
      </c>
      <c r="E28" s="4" t="s">
        <v>89</v>
      </c>
      <c r="F28" s="5" t="s">
        <v>122</v>
      </c>
      <c r="G28" s="5" t="s">
        <v>123</v>
      </c>
      <c r="H28" s="2" t="n">
        <f aca="false">1+ISNUMBER(SEARCH("R",F28))+ISNUMBER(SEARCH("G",F28))+ISNUMBER(SEARCH("M",F28))+ISNUMBER(SEARCH("P",F28))+ISNUMBER(SEARCH("D",F28))+ISNUMBER(SEARCH("N",F28))</f>
        <v>6</v>
      </c>
      <c r="I28" s="2" t="n">
        <f aca="false">1+ISNUMBER(SEARCH("R",G28))+ISNUMBER(SEARCH("G",G28))+ISNUMBER(SEARCH("M",G28))+ISNUMBER(SEARCH("P",G28))+ISNUMBER(SEARCH("D",G28))+ISNUMBER(SEARCH("N",G28))</f>
        <v>6</v>
      </c>
      <c r="J28" s="2" t="str">
        <f aca="false">IFERROR(CHOOSE(H28-3,"Svarantara","Audava","Shadava","Sampoorna"),"Other")</f>
        <v>Shadava</v>
      </c>
      <c r="K28" s="2" t="str">
        <f aca="false">IFERROR(CHOOSE(I28-3,"Svarantara","Audava","Shadava","Sampoorna"),"Other")</f>
        <v>Shadava</v>
      </c>
      <c r="L28" s="5" t="str">
        <f aca="false">J28&amp;" - "&amp;K28</f>
        <v>Shadava - Shadava</v>
      </c>
      <c r="M28" s="2" t="s">
        <v>24</v>
      </c>
      <c r="N28" s="2" t="s">
        <v>25</v>
      </c>
      <c r="O28" s="4" t="s">
        <v>52</v>
      </c>
      <c r="P28" s="2" t="s">
        <v>27</v>
      </c>
      <c r="Q28" s="4"/>
      <c r="R28" s="2" t="n">
        <v>115</v>
      </c>
      <c r="S28" s="2"/>
    </row>
    <row r="29" customFormat="false" ht="15" hidden="false" customHeight="false" outlineLevel="0" collapsed="false">
      <c r="A29" s="2" t="n">
        <v>28</v>
      </c>
      <c r="B29" s="3" t="s">
        <v>124</v>
      </c>
      <c r="C29" s="2" t="s">
        <v>48</v>
      </c>
      <c r="D29" s="2" t="n">
        <v>22</v>
      </c>
      <c r="E29" s="4" t="s">
        <v>89</v>
      </c>
      <c r="F29" s="5" t="s">
        <v>90</v>
      </c>
      <c r="G29" s="5" t="s">
        <v>125</v>
      </c>
      <c r="H29" s="2" t="n">
        <f aca="false">1+ISNUMBER(SEARCH("R",F29))+ISNUMBER(SEARCH("G",F29))+ISNUMBER(SEARCH("M",F29))+ISNUMBER(SEARCH("P",F29))+ISNUMBER(SEARCH("D",F29))+ISNUMBER(SEARCH("N",F29))</f>
        <v>5</v>
      </c>
      <c r="I29" s="2" t="n">
        <f aca="false">1+ISNUMBER(SEARCH("R",G29))+ISNUMBER(SEARCH("G",G29))+ISNUMBER(SEARCH("M",G29))+ISNUMBER(SEARCH("P",G29))+ISNUMBER(SEARCH("D",G29))+ISNUMBER(SEARCH("N",G29))</f>
        <v>7</v>
      </c>
      <c r="J29" s="2" t="str">
        <f aca="false">IFERROR(CHOOSE(H29-3,"Svarantara","Audava","Shadava","Sampoorna"),"Other")</f>
        <v>Audava</v>
      </c>
      <c r="K29" s="2" t="str">
        <f aca="false">IFERROR(CHOOSE(I29-3,"Svarantara","Audava","Shadava","Sampoorna"),"Other")</f>
        <v>Sampoorna</v>
      </c>
      <c r="L29" s="5" t="str">
        <f aca="false">J29&amp;" - "&amp;K29</f>
        <v>Audava - Sampoorna</v>
      </c>
      <c r="M29" s="2" t="s">
        <v>75</v>
      </c>
      <c r="N29" s="2" t="s">
        <v>25</v>
      </c>
      <c r="O29" s="4" t="s">
        <v>76</v>
      </c>
      <c r="P29" s="2" t="s">
        <v>27</v>
      </c>
      <c r="Q29" s="4" t="s">
        <v>126</v>
      </c>
      <c r="R29" s="2" t="n">
        <v>110</v>
      </c>
      <c r="S29" s="2"/>
    </row>
    <row r="30" customFormat="false" ht="35.05" hidden="false" customHeight="false" outlineLevel="0" collapsed="false">
      <c r="A30" s="2" t="n">
        <v>29</v>
      </c>
      <c r="B30" s="3" t="s">
        <v>127</v>
      </c>
      <c r="C30" s="2" t="s">
        <v>48</v>
      </c>
      <c r="D30" s="2" t="n">
        <v>8</v>
      </c>
      <c r="E30" s="4" t="s">
        <v>128</v>
      </c>
      <c r="F30" s="5" t="s">
        <v>129</v>
      </c>
      <c r="G30" s="5" t="s">
        <v>41</v>
      </c>
      <c r="H30" s="2" t="n">
        <f aca="false">1+ISNUMBER(SEARCH("R",F30))+ISNUMBER(SEARCH("G",F30))+ISNUMBER(SEARCH("M",F30))+ISNUMBER(SEARCH("P",F30))+ISNUMBER(SEARCH("D",F30))+ISNUMBER(SEARCH("N",F30))</f>
        <v>5</v>
      </c>
      <c r="I30" s="2" t="n">
        <f aca="false">1+ISNUMBER(SEARCH("R",G30))+ISNUMBER(SEARCH("G",G30))+ISNUMBER(SEARCH("M",G30))+ISNUMBER(SEARCH("P",G30))+ISNUMBER(SEARCH("D",G30))+ISNUMBER(SEARCH("N",G30))</f>
        <v>7</v>
      </c>
      <c r="J30" s="2" t="str">
        <f aca="false">IFERROR(CHOOSE(H30-3,"Svarantara","Audava","Shadava","Sampoorna"),"Other")</f>
        <v>Audava</v>
      </c>
      <c r="K30" s="2" t="str">
        <f aca="false">IFERROR(CHOOSE(I30-3,"Svarantara","Audava","Shadava","Sampoorna"),"Other")</f>
        <v>Sampoorna</v>
      </c>
      <c r="L30" s="5" t="str">
        <f aca="false">J30&amp;" - "&amp;K30</f>
        <v>Audava - Sampoorna</v>
      </c>
      <c r="M30" s="2" t="s">
        <v>24</v>
      </c>
      <c r="N30" s="2" t="s">
        <v>25</v>
      </c>
      <c r="O30" s="4" t="s">
        <v>130</v>
      </c>
      <c r="P30" s="6" t="s">
        <v>95</v>
      </c>
      <c r="Q30" s="4" t="s">
        <v>131</v>
      </c>
      <c r="R30" s="2" t="n">
        <v>73</v>
      </c>
      <c r="S30" s="2"/>
    </row>
    <row r="31" customFormat="false" ht="15" hidden="false" customHeight="false" outlineLevel="0" collapsed="false">
      <c r="A31" s="2" t="n">
        <v>30</v>
      </c>
      <c r="B31" s="3" t="s">
        <v>132</v>
      </c>
      <c r="C31" s="2" t="s">
        <v>48</v>
      </c>
      <c r="D31" s="2" t="n">
        <v>22</v>
      </c>
      <c r="E31" s="4" t="s">
        <v>89</v>
      </c>
      <c r="F31" s="5" t="s">
        <v>129</v>
      </c>
      <c r="G31" s="5" t="s">
        <v>133</v>
      </c>
      <c r="H31" s="2" t="n">
        <f aca="false">1+ISNUMBER(SEARCH("R",F31))+ISNUMBER(SEARCH("G",F31))+ISNUMBER(SEARCH("M",F31))+ISNUMBER(SEARCH("P",F31))+ISNUMBER(SEARCH("D",F31))+ISNUMBER(SEARCH("N",F31))</f>
        <v>5</v>
      </c>
      <c r="I31" s="2" t="n">
        <f aca="false">1+ISNUMBER(SEARCH("R",G31))+ISNUMBER(SEARCH("G",G31))+ISNUMBER(SEARCH("M",G31))+ISNUMBER(SEARCH("P",G31))+ISNUMBER(SEARCH("D",G31))+ISNUMBER(SEARCH("N",G31))</f>
        <v>6</v>
      </c>
      <c r="J31" s="2" t="str">
        <f aca="false">IFERROR(CHOOSE(H31-3,"Svarantara","Audava","Shadava","Sampoorna"),"Other")</f>
        <v>Audava</v>
      </c>
      <c r="K31" s="2" t="str">
        <f aca="false">IFERROR(CHOOSE(I31-3,"Svarantara","Audava","Shadava","Sampoorna"),"Other")</f>
        <v>Shadava</v>
      </c>
      <c r="L31" s="5" t="str">
        <f aca="false">J31&amp;" - "&amp;K31</f>
        <v>Audava - Shadava</v>
      </c>
      <c r="M31" s="2" t="s">
        <v>24</v>
      </c>
      <c r="N31" s="2" t="s">
        <v>25</v>
      </c>
      <c r="O31" s="4" t="s">
        <v>52</v>
      </c>
      <c r="P31" s="2" t="s">
        <v>27</v>
      </c>
      <c r="Q31" s="4"/>
      <c r="R31" s="2" t="n">
        <v>107</v>
      </c>
      <c r="S31" s="2"/>
    </row>
    <row r="32" customFormat="false" ht="23.85" hidden="false" customHeight="false" outlineLevel="0" collapsed="false">
      <c r="A32" s="2" t="n">
        <v>31</v>
      </c>
      <c r="B32" s="3" t="s">
        <v>134</v>
      </c>
      <c r="C32" s="2" t="s">
        <v>48</v>
      </c>
      <c r="D32" s="2" t="n">
        <v>22</v>
      </c>
      <c r="E32" s="4" t="s">
        <v>89</v>
      </c>
      <c r="F32" s="5" t="s">
        <v>135</v>
      </c>
      <c r="G32" s="5" t="s">
        <v>51</v>
      </c>
      <c r="H32" s="2" t="n">
        <f aca="false">1+ISNUMBER(SEARCH("R",F32))+ISNUMBER(SEARCH("G",F32))+ISNUMBER(SEARCH("M",F32))+ISNUMBER(SEARCH("P",F32))+ISNUMBER(SEARCH("D",F32))+ISNUMBER(SEARCH("N",F32))</f>
        <v>6</v>
      </c>
      <c r="I32" s="2" t="n">
        <f aca="false">1+ISNUMBER(SEARCH("R",G32))+ISNUMBER(SEARCH("G",G32))+ISNUMBER(SEARCH("M",G32))+ISNUMBER(SEARCH("P",G32))+ISNUMBER(SEARCH("D",G32))+ISNUMBER(SEARCH("N",G32))</f>
        <v>7</v>
      </c>
      <c r="J32" s="2" t="str">
        <f aca="false">IFERROR(CHOOSE(H32-3,"Svarantara","Audava","Shadava","Sampoorna"),"Other")</f>
        <v>Shadava</v>
      </c>
      <c r="K32" s="2" t="str">
        <f aca="false">IFERROR(CHOOSE(I32-3,"Svarantara","Audava","Shadava","Sampoorna"),"Other")</f>
        <v>Sampoorna</v>
      </c>
      <c r="L32" s="5" t="str">
        <f aca="false">J32&amp;" - "&amp;K32</f>
        <v>Shadava - Sampoorna</v>
      </c>
      <c r="M32" s="2" t="s">
        <v>75</v>
      </c>
      <c r="N32" s="2" t="s">
        <v>25</v>
      </c>
      <c r="O32" s="4" t="s">
        <v>76</v>
      </c>
      <c r="P32" s="6" t="s">
        <v>95</v>
      </c>
      <c r="Q32" s="4" t="s">
        <v>136</v>
      </c>
      <c r="R32" s="2" t="n">
        <v>108</v>
      </c>
      <c r="S32" s="2"/>
    </row>
    <row r="33" customFormat="false" ht="15" hidden="false" customHeight="false" outlineLevel="0" collapsed="false">
      <c r="A33" s="2" t="n">
        <v>32</v>
      </c>
      <c r="B33" s="3" t="s">
        <v>137</v>
      </c>
      <c r="C33" s="2" t="s">
        <v>48</v>
      </c>
      <c r="D33" s="2" t="n">
        <v>28</v>
      </c>
      <c r="E33" s="4" t="s">
        <v>55</v>
      </c>
      <c r="F33" s="5" t="s">
        <v>90</v>
      </c>
      <c r="G33" s="5" t="s">
        <v>45</v>
      </c>
      <c r="H33" s="2" t="n">
        <f aca="false">1+ISNUMBER(SEARCH("R",F33))+ISNUMBER(SEARCH("G",F33))+ISNUMBER(SEARCH("M",F33))+ISNUMBER(SEARCH("P",F33))+ISNUMBER(SEARCH("D",F33))+ISNUMBER(SEARCH("N",F33))</f>
        <v>5</v>
      </c>
      <c r="I33" s="2" t="n">
        <f aca="false">1+ISNUMBER(SEARCH("R",G33))+ISNUMBER(SEARCH("G",G33))+ISNUMBER(SEARCH("M",G33))+ISNUMBER(SEARCH("P",G33))+ISNUMBER(SEARCH("D",G33))+ISNUMBER(SEARCH("N",G33))</f>
        <v>7</v>
      </c>
      <c r="J33" s="2" t="str">
        <f aca="false">IFERROR(CHOOSE(H33-3,"Svarantara","Audava","Shadava","Sampoorna"),"Other")</f>
        <v>Audava</v>
      </c>
      <c r="K33" s="2" t="str">
        <f aca="false">IFERROR(CHOOSE(I33-3,"Svarantara","Audava","Shadava","Sampoorna"),"Other")</f>
        <v>Sampoorna</v>
      </c>
      <c r="L33" s="5" t="str">
        <f aca="false">J33&amp;" - "&amp;K33</f>
        <v>Audava - Sampoorna</v>
      </c>
      <c r="M33" s="2" t="s">
        <v>24</v>
      </c>
      <c r="N33" s="2" t="s">
        <v>25</v>
      </c>
      <c r="O33" s="4" t="s">
        <v>76</v>
      </c>
      <c r="P33" s="2" t="s">
        <v>27</v>
      </c>
      <c r="Q33" s="4"/>
      <c r="R33" s="2" t="n">
        <v>125</v>
      </c>
      <c r="S33" s="2"/>
    </row>
    <row r="34" customFormat="false" ht="15" hidden="false" customHeight="false" outlineLevel="0" collapsed="false">
      <c r="A34" s="2" t="n">
        <v>33</v>
      </c>
      <c r="B34" s="3" t="s">
        <v>138</v>
      </c>
      <c r="C34" s="2" t="s">
        <v>48</v>
      </c>
      <c r="D34" s="2" t="n">
        <v>28</v>
      </c>
      <c r="E34" s="4" t="s">
        <v>55</v>
      </c>
      <c r="F34" s="5" t="s">
        <v>139</v>
      </c>
      <c r="G34" s="5" t="s">
        <v>45</v>
      </c>
      <c r="H34" s="2" t="n">
        <f aca="false">1+ISNUMBER(SEARCH("R",F34))+ISNUMBER(SEARCH("G",F34))+ISNUMBER(SEARCH("M",F34))+ISNUMBER(SEARCH("P",F34))+ISNUMBER(SEARCH("D",F34))+ISNUMBER(SEARCH("N",F34))</f>
        <v>6</v>
      </c>
      <c r="I34" s="2" t="n">
        <f aca="false">1+ISNUMBER(SEARCH("R",G34))+ISNUMBER(SEARCH("G",G34))+ISNUMBER(SEARCH("M",G34))+ISNUMBER(SEARCH("P",G34))+ISNUMBER(SEARCH("D",G34))+ISNUMBER(SEARCH("N",G34))</f>
        <v>7</v>
      </c>
      <c r="J34" s="2" t="str">
        <f aca="false">IFERROR(CHOOSE(H34-3,"Svarantara","Audava","Shadava","Sampoorna"),"Other")</f>
        <v>Shadava</v>
      </c>
      <c r="K34" s="2" t="str">
        <f aca="false">IFERROR(CHOOSE(I34-3,"Svarantara","Audava","Shadava","Sampoorna"),"Other")</f>
        <v>Sampoorna</v>
      </c>
      <c r="L34" s="5" t="str">
        <f aca="false">J34&amp;" - "&amp;K34</f>
        <v>Shadava - Sampoorna</v>
      </c>
      <c r="M34" s="2" t="s">
        <v>75</v>
      </c>
      <c r="N34" s="2" t="s">
        <v>25</v>
      </c>
      <c r="O34" s="4" t="s">
        <v>76</v>
      </c>
      <c r="P34" s="2" t="s">
        <v>27</v>
      </c>
      <c r="Q34" s="4" t="s">
        <v>140</v>
      </c>
      <c r="R34" s="2" t="n">
        <v>124</v>
      </c>
      <c r="S34" s="2"/>
    </row>
    <row r="35" customFormat="false" ht="15" hidden="false" customHeight="false" outlineLevel="0" collapsed="false">
      <c r="A35" s="2" t="n">
        <v>34</v>
      </c>
      <c r="B35" s="3" t="s">
        <v>141</v>
      </c>
      <c r="C35" s="2" t="s">
        <v>48</v>
      </c>
      <c r="D35" s="2" t="n">
        <v>22</v>
      </c>
      <c r="E35" s="4" t="s">
        <v>89</v>
      </c>
      <c r="F35" s="5" t="s">
        <v>142</v>
      </c>
      <c r="G35" s="5" t="s">
        <v>143</v>
      </c>
      <c r="H35" s="2" t="n">
        <f aca="false">1+ISNUMBER(SEARCH("R",F35))+ISNUMBER(SEARCH("G",F35))+ISNUMBER(SEARCH("M",F35))+ISNUMBER(SEARCH("P",F35))+ISNUMBER(SEARCH("D",F35))+ISNUMBER(SEARCH("N",F35))</f>
        <v>5</v>
      </c>
      <c r="I35" s="2" t="n">
        <f aca="false">1+ISNUMBER(SEARCH("R",G35))+ISNUMBER(SEARCH("G",G35))+ISNUMBER(SEARCH("M",G35))+ISNUMBER(SEARCH("P",G35))+ISNUMBER(SEARCH("D",G35))+ISNUMBER(SEARCH("N",G35))</f>
        <v>5</v>
      </c>
      <c r="J35" s="2" t="str">
        <f aca="false">IFERROR(CHOOSE(H35-3,"Svarantara","Audava","Shadava","Sampoorna"),"Other")</f>
        <v>Audava</v>
      </c>
      <c r="K35" s="2" t="str">
        <f aca="false">IFERROR(CHOOSE(I35-3,"Svarantara","Audava","Shadava","Sampoorna"),"Other")</f>
        <v>Audava</v>
      </c>
      <c r="L35" s="5" t="str">
        <f aca="false">J35&amp;" - "&amp;K35</f>
        <v>Audava - Audava</v>
      </c>
      <c r="M35" s="2" t="s">
        <v>24</v>
      </c>
      <c r="N35" s="2" t="s">
        <v>25</v>
      </c>
      <c r="O35" s="4" t="s">
        <v>76</v>
      </c>
      <c r="P35" s="2" t="s">
        <v>27</v>
      </c>
      <c r="Q35" s="4"/>
      <c r="R35" s="2" t="n">
        <v>117</v>
      </c>
      <c r="S35" s="2"/>
    </row>
    <row r="36" customFormat="false" ht="15" hidden="false" customHeight="false" outlineLevel="0" collapsed="false">
      <c r="A36" s="2" t="n">
        <v>35</v>
      </c>
      <c r="B36" s="3" t="s">
        <v>144</v>
      </c>
      <c r="C36" s="2" t="s">
        <v>48</v>
      </c>
      <c r="D36" s="2" t="n">
        <v>15</v>
      </c>
      <c r="E36" s="4" t="s">
        <v>84</v>
      </c>
      <c r="F36" s="5" t="s">
        <v>85</v>
      </c>
      <c r="G36" s="5" t="s">
        <v>145</v>
      </c>
      <c r="H36" s="2" t="n">
        <f aca="false">1+ISNUMBER(SEARCH("R",F36))+ISNUMBER(SEARCH("G",F36))+ISNUMBER(SEARCH("M",F36))+ISNUMBER(SEARCH("P",F36))+ISNUMBER(SEARCH("D",F36))+ISNUMBER(SEARCH("N",F36))</f>
        <v>5</v>
      </c>
      <c r="I36" s="2" t="n">
        <f aca="false">1+ISNUMBER(SEARCH("R",G36))+ISNUMBER(SEARCH("G",G36))+ISNUMBER(SEARCH("M",G36))+ISNUMBER(SEARCH("P",G36))+ISNUMBER(SEARCH("D",G36))+ISNUMBER(SEARCH("N",G36))</f>
        <v>6</v>
      </c>
      <c r="J36" s="2" t="str">
        <f aca="false">IFERROR(CHOOSE(H36-3,"Svarantara","Audava","Shadava","Sampoorna"),"Other")</f>
        <v>Audava</v>
      </c>
      <c r="K36" s="2" t="str">
        <f aca="false">IFERROR(CHOOSE(I36-3,"Svarantara","Audava","Shadava","Sampoorna"),"Other")</f>
        <v>Shadava</v>
      </c>
      <c r="L36" s="5" t="str">
        <f aca="false">J36&amp;" - "&amp;K36</f>
        <v>Audava - Shadava</v>
      </c>
      <c r="M36" s="2" t="s">
        <v>24</v>
      </c>
      <c r="N36" s="2" t="s">
        <v>25</v>
      </c>
      <c r="O36" s="4" t="s">
        <v>52</v>
      </c>
      <c r="P36" s="2" t="s">
        <v>27</v>
      </c>
      <c r="Q36" s="4"/>
      <c r="R36" s="2" t="n">
        <v>85</v>
      </c>
      <c r="S36" s="2"/>
    </row>
    <row r="37" customFormat="false" ht="23.85" hidden="false" customHeight="false" outlineLevel="0" collapsed="false">
      <c r="A37" s="2" t="n">
        <v>36</v>
      </c>
      <c r="B37" s="3" t="s">
        <v>146</v>
      </c>
      <c r="C37" s="2" t="s">
        <v>48</v>
      </c>
      <c r="D37" s="2" t="n">
        <v>8</v>
      </c>
      <c r="E37" s="4" t="s">
        <v>128</v>
      </c>
      <c r="F37" s="5" t="s">
        <v>147</v>
      </c>
      <c r="G37" s="5" t="s">
        <v>148</v>
      </c>
      <c r="H37" s="2" t="n">
        <f aca="false">1+ISNUMBER(SEARCH("R",F37))+ISNUMBER(SEARCH("G",F37))+ISNUMBER(SEARCH("M",F37))+ISNUMBER(SEARCH("P",F37))+ISNUMBER(SEARCH("D",F37))+ISNUMBER(SEARCH("N",F37))</f>
        <v>7</v>
      </c>
      <c r="I37" s="2" t="n">
        <f aca="false">1+ISNUMBER(SEARCH("R",G37))+ISNUMBER(SEARCH("G",G37))+ISNUMBER(SEARCH("M",G37))+ISNUMBER(SEARCH("P",G37))+ISNUMBER(SEARCH("D",G37))+ISNUMBER(SEARCH("N",G37))</f>
        <v>7</v>
      </c>
      <c r="J37" s="2" t="str">
        <f aca="false">IFERROR(CHOOSE(H37-3,"Svarantara","Audava","Shadava","Sampoorna"),"Other")</f>
        <v>Sampoorna</v>
      </c>
      <c r="K37" s="2" t="str">
        <f aca="false">IFERROR(CHOOSE(I37-3,"Svarantara","Audava","Shadava","Sampoorna"),"Other")</f>
        <v>Sampoorna</v>
      </c>
      <c r="L37" s="5" t="str">
        <f aca="false">J37&amp;" - "&amp;K37</f>
        <v>Sampoorna - Sampoorna</v>
      </c>
      <c r="M37" s="2" t="s">
        <v>24</v>
      </c>
      <c r="N37" s="2" t="s">
        <v>25</v>
      </c>
      <c r="O37" s="4" t="s">
        <v>130</v>
      </c>
      <c r="P37" s="2" t="s">
        <v>27</v>
      </c>
      <c r="Q37" s="4" t="s">
        <v>149</v>
      </c>
      <c r="R37" s="2" t="n">
        <v>76</v>
      </c>
      <c r="S37" s="2"/>
    </row>
    <row r="38" customFormat="false" ht="15" hidden="false" customHeight="false" outlineLevel="0" collapsed="false">
      <c r="A38" s="2" t="n">
        <v>37</v>
      </c>
      <c r="B38" s="3" t="s">
        <v>150</v>
      </c>
      <c r="C38" s="2" t="s">
        <v>48</v>
      </c>
      <c r="D38" s="2" t="n">
        <v>39</v>
      </c>
      <c r="E38" s="4" t="s">
        <v>151</v>
      </c>
      <c r="F38" s="5" t="s">
        <v>152</v>
      </c>
      <c r="G38" s="5" t="s">
        <v>153</v>
      </c>
      <c r="H38" s="2" t="n">
        <f aca="false">1+ISNUMBER(SEARCH("R",F38))+ISNUMBER(SEARCH("G",F38))+ISNUMBER(SEARCH("M",F38))+ISNUMBER(SEARCH("P",F38))+ISNUMBER(SEARCH("D",F38))+ISNUMBER(SEARCH("N",F38))</f>
        <v>7</v>
      </c>
      <c r="I38" s="2" t="n">
        <f aca="false">1+ISNUMBER(SEARCH("R",G38))+ISNUMBER(SEARCH("G",G38))+ISNUMBER(SEARCH("M",G38))+ISNUMBER(SEARCH("P",G38))+ISNUMBER(SEARCH("D",G38))+ISNUMBER(SEARCH("N",G38))</f>
        <v>7</v>
      </c>
      <c r="J38" s="2" t="str">
        <f aca="false">IFERROR(CHOOSE(H38-3,"Svarantara","Audava","Shadava","Sampoorna"),"Other")</f>
        <v>Sampoorna</v>
      </c>
      <c r="K38" s="2" t="str">
        <f aca="false">IFERROR(CHOOSE(I38-3,"Svarantara","Audava","Shadava","Sampoorna"),"Other")</f>
        <v>Sampoorna</v>
      </c>
      <c r="L38" s="5" t="str">
        <f aca="false">J38&amp;" - "&amp;K38</f>
        <v>Sampoorna - Sampoorna</v>
      </c>
      <c r="M38" s="2" t="s">
        <v>75</v>
      </c>
      <c r="N38" s="2" t="s">
        <v>25</v>
      </c>
      <c r="O38" s="4" t="s">
        <v>76</v>
      </c>
      <c r="P38" s="6" t="s">
        <v>95</v>
      </c>
      <c r="Q38" s="4" t="s">
        <v>154</v>
      </c>
      <c r="R38" s="2" t="n">
        <v>162</v>
      </c>
      <c r="S38" s="2"/>
    </row>
    <row r="39" customFormat="false" ht="15" hidden="false" customHeight="false" outlineLevel="0" collapsed="false">
      <c r="A39" s="2" t="n">
        <v>38</v>
      </c>
      <c r="B39" s="3" t="s">
        <v>155</v>
      </c>
      <c r="C39" s="2" t="s">
        <v>48</v>
      </c>
      <c r="D39" s="2" t="n">
        <v>8</v>
      </c>
      <c r="E39" s="4" t="s">
        <v>128</v>
      </c>
      <c r="F39" s="5" t="s">
        <v>85</v>
      </c>
      <c r="G39" s="5" t="s">
        <v>156</v>
      </c>
      <c r="H39" s="2" t="n">
        <f aca="false">1+ISNUMBER(SEARCH("R",F39))+ISNUMBER(SEARCH("G",F39))+ISNUMBER(SEARCH("M",F39))+ISNUMBER(SEARCH("P",F39))+ISNUMBER(SEARCH("D",F39))+ISNUMBER(SEARCH("N",F39))</f>
        <v>5</v>
      </c>
      <c r="I39" s="2" t="n">
        <f aca="false">1+ISNUMBER(SEARCH("R",G39))+ISNUMBER(SEARCH("G",G39))+ISNUMBER(SEARCH("M",G39))+ISNUMBER(SEARCH("P",G39))+ISNUMBER(SEARCH("D",G39))+ISNUMBER(SEARCH("N",G39))</f>
        <v>7</v>
      </c>
      <c r="J39" s="2" t="str">
        <f aca="false">IFERROR(CHOOSE(H39-3,"Svarantara","Audava","Shadava","Sampoorna"),"Other")</f>
        <v>Audava</v>
      </c>
      <c r="K39" s="2" t="str">
        <f aca="false">IFERROR(CHOOSE(I39-3,"Svarantara","Audava","Shadava","Sampoorna"),"Other")</f>
        <v>Sampoorna</v>
      </c>
      <c r="L39" s="5" t="str">
        <f aca="false">J39&amp;" - "&amp;K39</f>
        <v>Audava - Sampoorna</v>
      </c>
      <c r="M39" s="2" t="s">
        <v>75</v>
      </c>
      <c r="N39" s="2" t="s">
        <v>25</v>
      </c>
      <c r="O39" s="4" t="s">
        <v>130</v>
      </c>
      <c r="P39" s="2" t="s">
        <v>27</v>
      </c>
      <c r="Q39" s="4" t="s">
        <v>157</v>
      </c>
      <c r="R39" s="2" t="n">
        <v>74</v>
      </c>
      <c r="S39" s="2"/>
    </row>
    <row r="40" customFormat="false" ht="15" hidden="false" customHeight="false" outlineLevel="0" collapsed="false">
      <c r="A40" s="2" t="n">
        <v>39</v>
      </c>
      <c r="B40" s="3" t="s">
        <v>158</v>
      </c>
      <c r="C40" s="2" t="s">
        <v>20</v>
      </c>
      <c r="D40" s="2" t="n">
        <v>57</v>
      </c>
      <c r="E40" s="4" t="s">
        <v>21</v>
      </c>
      <c r="F40" s="5" t="s">
        <v>159</v>
      </c>
      <c r="G40" s="5" t="s">
        <v>160</v>
      </c>
      <c r="H40" s="2" t="n">
        <f aca="false">1+ISNUMBER(SEARCH("R",F40))+ISNUMBER(SEARCH("G",F40))+ISNUMBER(SEARCH("M",F40))+ISNUMBER(SEARCH("P",F40))+ISNUMBER(SEARCH("D",F40))+ISNUMBER(SEARCH("N",F40))</f>
        <v>7</v>
      </c>
      <c r="I40" s="2" t="n">
        <f aca="false">1+ISNUMBER(SEARCH("R",G40))+ISNUMBER(SEARCH("G",G40))+ISNUMBER(SEARCH("M",G40))+ISNUMBER(SEARCH("P",G40))+ISNUMBER(SEARCH("D",G40))+ISNUMBER(SEARCH("N",G40))</f>
        <v>7</v>
      </c>
      <c r="J40" s="2" t="str">
        <f aca="false">IFERROR(CHOOSE(H40-3,"Svarantara","Audava","Shadava","Sampoorna"),"Other")</f>
        <v>Sampoorna</v>
      </c>
      <c r="K40" s="2" t="str">
        <f aca="false">IFERROR(CHOOSE(I40-3,"Svarantara","Audava","Shadava","Sampoorna"),"Other")</f>
        <v>Sampoorna</v>
      </c>
      <c r="L40" s="5" t="str">
        <f aca="false">J40&amp;" - "&amp;K40</f>
        <v>Sampoorna - Sampoorna</v>
      </c>
      <c r="M40" s="2" t="s">
        <v>24</v>
      </c>
      <c r="N40" s="2" t="s">
        <v>161</v>
      </c>
      <c r="O40" s="4" t="s">
        <v>26</v>
      </c>
      <c r="P40" s="2" t="s">
        <v>27</v>
      </c>
      <c r="Q40" s="4"/>
      <c r="R40" s="2" t="n">
        <v>57</v>
      </c>
      <c r="S40" s="2"/>
    </row>
    <row r="41" customFormat="false" ht="15" hidden="false" customHeight="false" outlineLevel="0" collapsed="false">
      <c r="A41" s="2" t="n">
        <v>40</v>
      </c>
      <c r="B41" s="3" t="s">
        <v>162</v>
      </c>
      <c r="C41" s="2" t="s">
        <v>20</v>
      </c>
      <c r="D41" s="2" t="n">
        <v>23</v>
      </c>
      <c r="E41" s="4" t="s">
        <v>21</v>
      </c>
      <c r="F41" s="5" t="s">
        <v>163</v>
      </c>
      <c r="G41" s="5" t="s">
        <v>164</v>
      </c>
      <c r="H41" s="2" t="n">
        <f aca="false">1+ISNUMBER(SEARCH("R",F41))+ISNUMBER(SEARCH("G",F41))+ISNUMBER(SEARCH("M",F41))+ISNUMBER(SEARCH("P",F41))+ISNUMBER(SEARCH("D",F41))+ISNUMBER(SEARCH("N",F41))</f>
        <v>7</v>
      </c>
      <c r="I41" s="2" t="n">
        <f aca="false">1+ISNUMBER(SEARCH("R",G41))+ISNUMBER(SEARCH("G",G41))+ISNUMBER(SEARCH("M",G41))+ISNUMBER(SEARCH("P",G41))+ISNUMBER(SEARCH("D",G41))+ISNUMBER(SEARCH("N",G41))</f>
        <v>7</v>
      </c>
      <c r="J41" s="2" t="str">
        <f aca="false">IFERROR(CHOOSE(H41-3,"Svarantara","Audava","Shadava","Sampoorna"),"Other")</f>
        <v>Sampoorna</v>
      </c>
      <c r="K41" s="2" t="str">
        <f aca="false">IFERROR(CHOOSE(I41-3,"Svarantara","Audava","Shadava","Sampoorna"),"Other")</f>
        <v>Sampoorna</v>
      </c>
      <c r="L41" s="5" t="str">
        <f aca="false">J41&amp;" - "&amp;K41</f>
        <v>Sampoorna - Sampoorna</v>
      </c>
      <c r="M41" s="2" t="s">
        <v>24</v>
      </c>
      <c r="N41" s="2" t="s">
        <v>161</v>
      </c>
      <c r="O41" s="4" t="s">
        <v>26</v>
      </c>
      <c r="P41" s="2" t="s">
        <v>27</v>
      </c>
      <c r="Q41" s="4"/>
      <c r="R41" s="2" t="n">
        <v>23</v>
      </c>
      <c r="S41" s="2"/>
    </row>
    <row r="42" customFormat="false" ht="15" hidden="false" customHeight="false" outlineLevel="0" collapsed="false">
      <c r="A42" s="2" t="n">
        <v>41</v>
      </c>
      <c r="B42" s="3" t="s">
        <v>165</v>
      </c>
      <c r="C42" s="2" t="s">
        <v>20</v>
      </c>
      <c r="D42" s="2" t="n">
        <v>58</v>
      </c>
      <c r="E42" s="4" t="s">
        <v>21</v>
      </c>
      <c r="F42" s="5" t="s">
        <v>166</v>
      </c>
      <c r="G42" s="5" t="s">
        <v>167</v>
      </c>
      <c r="H42" s="2" t="n">
        <f aca="false">1+ISNUMBER(SEARCH("R",F42))+ISNUMBER(SEARCH("G",F42))+ISNUMBER(SEARCH("M",F42))+ISNUMBER(SEARCH("P",F42))+ISNUMBER(SEARCH("D",F42))+ISNUMBER(SEARCH("N",F42))</f>
        <v>7</v>
      </c>
      <c r="I42" s="2" t="n">
        <f aca="false">1+ISNUMBER(SEARCH("R",G42))+ISNUMBER(SEARCH("G",G42))+ISNUMBER(SEARCH("M",G42))+ISNUMBER(SEARCH("P",G42))+ISNUMBER(SEARCH("D",G42))+ISNUMBER(SEARCH("N",G42))</f>
        <v>7</v>
      </c>
      <c r="J42" s="2" t="str">
        <f aca="false">IFERROR(CHOOSE(H42-3,"Svarantara","Audava","Shadava","Sampoorna"),"Other")</f>
        <v>Sampoorna</v>
      </c>
      <c r="K42" s="2" t="str">
        <f aca="false">IFERROR(CHOOSE(I42-3,"Svarantara","Audava","Shadava","Sampoorna"),"Other")</f>
        <v>Sampoorna</v>
      </c>
      <c r="L42" s="5" t="str">
        <f aca="false">J42&amp;" - "&amp;K42</f>
        <v>Sampoorna - Sampoorna</v>
      </c>
      <c r="M42" s="2" t="s">
        <v>24</v>
      </c>
      <c r="N42" s="2" t="s">
        <v>161</v>
      </c>
      <c r="O42" s="4" t="s">
        <v>26</v>
      </c>
      <c r="P42" s="2" t="s">
        <v>27</v>
      </c>
      <c r="Q42" s="4"/>
      <c r="R42" s="2" t="n">
        <v>58</v>
      </c>
      <c r="S42" s="2"/>
    </row>
    <row r="43" customFormat="false" ht="15" hidden="false" customHeight="false" outlineLevel="0" collapsed="false">
      <c r="A43" s="2" t="n">
        <v>42</v>
      </c>
      <c r="B43" s="3" t="s">
        <v>168</v>
      </c>
      <c r="C43" s="2" t="s">
        <v>20</v>
      </c>
      <c r="D43" s="2" t="n">
        <v>59</v>
      </c>
      <c r="E43" s="4" t="s">
        <v>21</v>
      </c>
      <c r="F43" s="5" t="s">
        <v>169</v>
      </c>
      <c r="G43" s="5" t="s">
        <v>170</v>
      </c>
      <c r="H43" s="2" t="n">
        <f aca="false">1+ISNUMBER(SEARCH("R",F43))+ISNUMBER(SEARCH("G",F43))+ISNUMBER(SEARCH("M",F43))+ISNUMBER(SEARCH("P",F43))+ISNUMBER(SEARCH("D",F43))+ISNUMBER(SEARCH("N",F43))</f>
        <v>7</v>
      </c>
      <c r="I43" s="2" t="n">
        <f aca="false">1+ISNUMBER(SEARCH("R",G43))+ISNUMBER(SEARCH("G",G43))+ISNUMBER(SEARCH("M",G43))+ISNUMBER(SEARCH("P",G43))+ISNUMBER(SEARCH("D",G43))+ISNUMBER(SEARCH("N",G43))</f>
        <v>7</v>
      </c>
      <c r="J43" s="2" t="str">
        <f aca="false">IFERROR(CHOOSE(H43-3,"Svarantara","Audava","Shadava","Sampoorna"),"Other")</f>
        <v>Sampoorna</v>
      </c>
      <c r="K43" s="2" t="str">
        <f aca="false">IFERROR(CHOOSE(I43-3,"Svarantara","Audava","Shadava","Sampoorna"),"Other")</f>
        <v>Sampoorna</v>
      </c>
      <c r="L43" s="5" t="str">
        <f aca="false">J43&amp;" - "&amp;K43</f>
        <v>Sampoorna - Sampoorna</v>
      </c>
      <c r="M43" s="2" t="s">
        <v>24</v>
      </c>
      <c r="N43" s="2" t="s">
        <v>161</v>
      </c>
      <c r="O43" s="4" t="s">
        <v>26</v>
      </c>
      <c r="P43" s="2" t="s">
        <v>27</v>
      </c>
      <c r="Q43" s="4"/>
      <c r="R43" s="2" t="n">
        <v>59</v>
      </c>
      <c r="S43" s="2"/>
    </row>
    <row r="44" customFormat="false" ht="15" hidden="false" customHeight="false" outlineLevel="0" collapsed="false">
      <c r="A44" s="2" t="n">
        <v>43</v>
      </c>
      <c r="B44" s="3" t="s">
        <v>171</v>
      </c>
      <c r="C44" s="2" t="s">
        <v>20</v>
      </c>
      <c r="D44" s="2" t="n">
        <v>51</v>
      </c>
      <c r="E44" s="4" t="s">
        <v>21</v>
      </c>
      <c r="F44" s="5" t="s">
        <v>172</v>
      </c>
      <c r="G44" s="5" t="s">
        <v>173</v>
      </c>
      <c r="H44" s="2" t="n">
        <f aca="false">1+ISNUMBER(SEARCH("R",F44))+ISNUMBER(SEARCH("G",F44))+ISNUMBER(SEARCH("M",F44))+ISNUMBER(SEARCH("P",F44))+ISNUMBER(SEARCH("D",F44))+ISNUMBER(SEARCH("N",F44))</f>
        <v>7</v>
      </c>
      <c r="I44" s="2" t="n">
        <f aca="false">1+ISNUMBER(SEARCH("R",G44))+ISNUMBER(SEARCH("G",G44))+ISNUMBER(SEARCH("M",G44))+ISNUMBER(SEARCH("P",G44))+ISNUMBER(SEARCH("D",G44))+ISNUMBER(SEARCH("N",G44))</f>
        <v>7</v>
      </c>
      <c r="J44" s="2" t="str">
        <f aca="false">IFERROR(CHOOSE(H44-3,"Svarantara","Audava","Shadava","Sampoorna"),"Other")</f>
        <v>Sampoorna</v>
      </c>
      <c r="K44" s="2" t="str">
        <f aca="false">IFERROR(CHOOSE(I44-3,"Svarantara","Audava","Shadava","Sampoorna"),"Other")</f>
        <v>Sampoorna</v>
      </c>
      <c r="L44" s="5" t="str">
        <f aca="false">J44&amp;" - "&amp;K44</f>
        <v>Sampoorna - Sampoorna</v>
      </c>
      <c r="M44" s="2" t="s">
        <v>24</v>
      </c>
      <c r="N44" s="2" t="s">
        <v>161</v>
      </c>
      <c r="O44" s="4" t="s">
        <v>26</v>
      </c>
      <c r="P44" s="2" t="s">
        <v>27</v>
      </c>
      <c r="Q44" s="4" t="s">
        <v>174</v>
      </c>
      <c r="R44" s="2" t="n">
        <v>51</v>
      </c>
      <c r="S44" s="2"/>
    </row>
    <row r="45" customFormat="false" ht="15" hidden="false" customHeight="false" outlineLevel="0" collapsed="false">
      <c r="A45" s="2" t="n">
        <v>44</v>
      </c>
      <c r="B45" s="3" t="s">
        <v>175</v>
      </c>
      <c r="C45" s="2" t="s">
        <v>20</v>
      </c>
      <c r="D45" s="2" t="n">
        <v>64</v>
      </c>
      <c r="E45" s="4" t="s">
        <v>21</v>
      </c>
      <c r="F45" s="5" t="s">
        <v>176</v>
      </c>
      <c r="G45" s="5" t="s">
        <v>177</v>
      </c>
      <c r="H45" s="2" t="n">
        <f aca="false">1+ISNUMBER(SEARCH("R",F45))+ISNUMBER(SEARCH("G",F45))+ISNUMBER(SEARCH("M",F45))+ISNUMBER(SEARCH("P",F45))+ISNUMBER(SEARCH("D",F45))+ISNUMBER(SEARCH("N",F45))</f>
        <v>7</v>
      </c>
      <c r="I45" s="2" t="n">
        <f aca="false">1+ISNUMBER(SEARCH("R",G45))+ISNUMBER(SEARCH("G",G45))+ISNUMBER(SEARCH("M",G45))+ISNUMBER(SEARCH("P",G45))+ISNUMBER(SEARCH("D",G45))+ISNUMBER(SEARCH("N",G45))</f>
        <v>7</v>
      </c>
      <c r="J45" s="2" t="str">
        <f aca="false">IFERROR(CHOOSE(H45-3,"Svarantara","Audava","Shadava","Sampoorna"),"Other")</f>
        <v>Sampoorna</v>
      </c>
      <c r="K45" s="2" t="str">
        <f aca="false">IFERROR(CHOOSE(I45-3,"Svarantara","Audava","Shadava","Sampoorna"),"Other")</f>
        <v>Sampoorna</v>
      </c>
      <c r="L45" s="5" t="str">
        <f aca="false">J45&amp;" - "&amp;K45</f>
        <v>Sampoorna - Sampoorna</v>
      </c>
      <c r="M45" s="2" t="s">
        <v>24</v>
      </c>
      <c r="N45" s="2" t="s">
        <v>161</v>
      </c>
      <c r="O45" s="4" t="s">
        <v>26</v>
      </c>
      <c r="P45" s="2" t="s">
        <v>27</v>
      </c>
      <c r="Q45" s="4"/>
      <c r="R45" s="2" t="n">
        <v>64</v>
      </c>
      <c r="S45" s="2"/>
    </row>
    <row r="46" customFormat="false" ht="15" hidden="false" customHeight="false" outlineLevel="0" collapsed="false">
      <c r="A46" s="2" t="n">
        <v>45</v>
      </c>
      <c r="B46" s="3" t="s">
        <v>178</v>
      </c>
      <c r="C46" s="2" t="s">
        <v>20</v>
      </c>
      <c r="D46" s="2" t="n">
        <v>10</v>
      </c>
      <c r="E46" s="4" t="s">
        <v>21</v>
      </c>
      <c r="F46" s="5" t="s">
        <v>179</v>
      </c>
      <c r="G46" s="5" t="s">
        <v>180</v>
      </c>
      <c r="H46" s="2" t="n">
        <f aca="false">1+ISNUMBER(SEARCH("R",F46))+ISNUMBER(SEARCH("G",F46))+ISNUMBER(SEARCH("M",F46))+ISNUMBER(SEARCH("P",F46))+ISNUMBER(SEARCH("D",F46))+ISNUMBER(SEARCH("N",F46))</f>
        <v>7</v>
      </c>
      <c r="I46" s="2" t="n">
        <f aca="false">1+ISNUMBER(SEARCH("R",G46))+ISNUMBER(SEARCH("G",G46))+ISNUMBER(SEARCH("M",G46))+ISNUMBER(SEARCH("P",G46))+ISNUMBER(SEARCH("D",G46))+ISNUMBER(SEARCH("N",G46))</f>
        <v>7</v>
      </c>
      <c r="J46" s="2" t="str">
        <f aca="false">IFERROR(CHOOSE(H46-3,"Svarantara","Audava","Shadava","Sampoorna"),"Other")</f>
        <v>Sampoorna</v>
      </c>
      <c r="K46" s="2" t="str">
        <f aca="false">IFERROR(CHOOSE(I46-3,"Svarantara","Audava","Shadava","Sampoorna"),"Other")</f>
        <v>Sampoorna</v>
      </c>
      <c r="L46" s="5" t="str">
        <f aca="false">J46&amp;" - "&amp;K46</f>
        <v>Sampoorna - Sampoorna</v>
      </c>
      <c r="M46" s="2" t="s">
        <v>24</v>
      </c>
      <c r="N46" s="2" t="s">
        <v>161</v>
      </c>
      <c r="O46" s="4" t="s">
        <v>26</v>
      </c>
      <c r="P46" s="2" t="s">
        <v>27</v>
      </c>
      <c r="Q46" s="4"/>
      <c r="R46" s="2" t="n">
        <v>10</v>
      </c>
      <c r="S46" s="2"/>
    </row>
    <row r="47" customFormat="false" ht="15" hidden="false" customHeight="false" outlineLevel="0" collapsed="false">
      <c r="A47" s="2" t="n">
        <v>46</v>
      </c>
      <c r="B47" s="3" t="s">
        <v>181</v>
      </c>
      <c r="C47" s="2" t="s">
        <v>20</v>
      </c>
      <c r="D47" s="2" t="n">
        <v>16</v>
      </c>
      <c r="E47" s="4" t="s">
        <v>21</v>
      </c>
      <c r="F47" s="5" t="s">
        <v>182</v>
      </c>
      <c r="G47" s="5" t="s">
        <v>183</v>
      </c>
      <c r="H47" s="2" t="n">
        <f aca="false">1+ISNUMBER(SEARCH("R",F47))+ISNUMBER(SEARCH("G",F47))+ISNUMBER(SEARCH("M",F47))+ISNUMBER(SEARCH("P",F47))+ISNUMBER(SEARCH("D",F47))+ISNUMBER(SEARCH("N",F47))</f>
        <v>7</v>
      </c>
      <c r="I47" s="2" t="n">
        <f aca="false">1+ISNUMBER(SEARCH("R",G47))+ISNUMBER(SEARCH("G",G47))+ISNUMBER(SEARCH("M",G47))+ISNUMBER(SEARCH("P",G47))+ISNUMBER(SEARCH("D",G47))+ISNUMBER(SEARCH("N",G47))</f>
        <v>7</v>
      </c>
      <c r="J47" s="2" t="str">
        <f aca="false">IFERROR(CHOOSE(H47-3,"Svarantara","Audava","Shadava","Sampoorna"),"Other")</f>
        <v>Sampoorna</v>
      </c>
      <c r="K47" s="2" t="str">
        <f aca="false">IFERROR(CHOOSE(I47-3,"Svarantara","Audava","Shadava","Sampoorna"),"Other")</f>
        <v>Sampoorna</v>
      </c>
      <c r="L47" s="5" t="str">
        <f aca="false">J47&amp;" - "&amp;K47</f>
        <v>Sampoorna - Sampoorna</v>
      </c>
      <c r="M47" s="2" t="s">
        <v>24</v>
      </c>
      <c r="N47" s="2" t="s">
        <v>161</v>
      </c>
      <c r="O47" s="4" t="s">
        <v>26</v>
      </c>
      <c r="P47" s="2" t="s">
        <v>27</v>
      </c>
      <c r="Q47" s="4"/>
      <c r="R47" s="2" t="n">
        <v>16</v>
      </c>
      <c r="S47" s="2"/>
    </row>
    <row r="48" customFormat="false" ht="15" hidden="false" customHeight="false" outlineLevel="0" collapsed="false">
      <c r="A48" s="2" t="n">
        <v>47</v>
      </c>
      <c r="B48" s="3" t="s">
        <v>184</v>
      </c>
      <c r="C48" s="2" t="s">
        <v>20</v>
      </c>
      <c r="D48" s="2" t="n">
        <v>53</v>
      </c>
      <c r="E48" s="4" t="s">
        <v>21</v>
      </c>
      <c r="F48" s="5" t="s">
        <v>185</v>
      </c>
      <c r="G48" s="5" t="s">
        <v>186</v>
      </c>
      <c r="H48" s="2" t="n">
        <f aca="false">1+ISNUMBER(SEARCH("R",F48))+ISNUMBER(SEARCH("G",F48))+ISNUMBER(SEARCH("M",F48))+ISNUMBER(SEARCH("P",F48))+ISNUMBER(SEARCH("D",F48))+ISNUMBER(SEARCH("N",F48))</f>
        <v>7</v>
      </c>
      <c r="I48" s="2" t="n">
        <f aca="false">1+ISNUMBER(SEARCH("R",G48))+ISNUMBER(SEARCH("G",G48))+ISNUMBER(SEARCH("M",G48))+ISNUMBER(SEARCH("P",G48))+ISNUMBER(SEARCH("D",G48))+ISNUMBER(SEARCH("N",G48))</f>
        <v>7</v>
      </c>
      <c r="J48" s="2" t="str">
        <f aca="false">IFERROR(CHOOSE(H48-3,"Svarantara","Audava","Shadava","Sampoorna"),"Other")</f>
        <v>Sampoorna</v>
      </c>
      <c r="K48" s="2" t="str">
        <f aca="false">IFERROR(CHOOSE(I48-3,"Svarantara","Audava","Shadava","Sampoorna"),"Other")</f>
        <v>Sampoorna</v>
      </c>
      <c r="L48" s="5" t="str">
        <f aca="false">J48&amp;" - "&amp;K48</f>
        <v>Sampoorna - Sampoorna</v>
      </c>
      <c r="M48" s="2" t="s">
        <v>24</v>
      </c>
      <c r="N48" s="2" t="s">
        <v>161</v>
      </c>
      <c r="O48" s="4" t="s">
        <v>26</v>
      </c>
      <c r="P48" s="2" t="s">
        <v>27</v>
      </c>
      <c r="Q48" s="4" t="s">
        <v>187</v>
      </c>
      <c r="R48" s="2" t="n">
        <v>53</v>
      </c>
      <c r="S48" s="2"/>
    </row>
    <row r="49" customFormat="false" ht="15" hidden="false" customHeight="false" outlineLevel="0" collapsed="false">
      <c r="A49" s="2" t="n">
        <v>48</v>
      </c>
      <c r="B49" s="3" t="s">
        <v>188</v>
      </c>
      <c r="C49" s="2" t="s">
        <v>20</v>
      </c>
      <c r="D49" s="2" t="n">
        <v>36</v>
      </c>
      <c r="E49" s="4" t="s">
        <v>21</v>
      </c>
      <c r="F49" s="5" t="s">
        <v>189</v>
      </c>
      <c r="G49" s="5" t="s">
        <v>190</v>
      </c>
      <c r="H49" s="2" t="n">
        <f aca="false">1+ISNUMBER(SEARCH("R",F49))+ISNUMBER(SEARCH("G",F49))+ISNUMBER(SEARCH("M",F49))+ISNUMBER(SEARCH("P",F49))+ISNUMBER(SEARCH("D",F49))+ISNUMBER(SEARCH("N",F49))</f>
        <v>7</v>
      </c>
      <c r="I49" s="2" t="n">
        <f aca="false">1+ISNUMBER(SEARCH("R",G49))+ISNUMBER(SEARCH("G",G49))+ISNUMBER(SEARCH("M",G49))+ISNUMBER(SEARCH("P",G49))+ISNUMBER(SEARCH("D",G49))+ISNUMBER(SEARCH("N",G49))</f>
        <v>7</v>
      </c>
      <c r="J49" s="2" t="str">
        <f aca="false">IFERROR(CHOOSE(H49-3,"Svarantara","Audava","Shadava","Sampoorna"),"Other")</f>
        <v>Sampoorna</v>
      </c>
      <c r="K49" s="2" t="str">
        <f aca="false">IFERROR(CHOOSE(I49-3,"Svarantara","Audava","Shadava","Sampoorna"),"Other")</f>
        <v>Sampoorna</v>
      </c>
      <c r="L49" s="5" t="str">
        <f aca="false">J49&amp;" - "&amp;K49</f>
        <v>Sampoorna - Sampoorna</v>
      </c>
      <c r="M49" s="2" t="s">
        <v>24</v>
      </c>
      <c r="N49" s="2" t="s">
        <v>161</v>
      </c>
      <c r="O49" s="4" t="s">
        <v>26</v>
      </c>
      <c r="P49" s="2" t="s">
        <v>27</v>
      </c>
      <c r="Q49" s="4"/>
      <c r="R49" s="2" t="n">
        <v>36</v>
      </c>
      <c r="S49" s="2"/>
    </row>
    <row r="50" customFormat="false" ht="15" hidden="false" customHeight="false" outlineLevel="0" collapsed="false">
      <c r="A50" s="2" t="n">
        <v>49</v>
      </c>
      <c r="B50" s="3" t="s">
        <v>191</v>
      </c>
      <c r="C50" s="2" t="s">
        <v>20</v>
      </c>
      <c r="D50" s="2" t="n">
        <v>39</v>
      </c>
      <c r="E50" s="4" t="s">
        <v>21</v>
      </c>
      <c r="F50" s="5" t="s">
        <v>192</v>
      </c>
      <c r="G50" s="5" t="s">
        <v>153</v>
      </c>
      <c r="H50" s="2" t="n">
        <f aca="false">1+ISNUMBER(SEARCH("R",F50))+ISNUMBER(SEARCH("G",F50))+ISNUMBER(SEARCH("M",F50))+ISNUMBER(SEARCH("P",F50))+ISNUMBER(SEARCH("D",F50))+ISNUMBER(SEARCH("N",F50))</f>
        <v>7</v>
      </c>
      <c r="I50" s="2" t="n">
        <f aca="false">1+ISNUMBER(SEARCH("R",G50))+ISNUMBER(SEARCH("G",G50))+ISNUMBER(SEARCH("M",G50))+ISNUMBER(SEARCH("P",G50))+ISNUMBER(SEARCH("D",G50))+ISNUMBER(SEARCH("N",G50))</f>
        <v>7</v>
      </c>
      <c r="J50" s="2" t="str">
        <f aca="false">IFERROR(CHOOSE(H50-3,"Svarantara","Audava","Shadava","Sampoorna"),"Other")</f>
        <v>Sampoorna</v>
      </c>
      <c r="K50" s="2" t="str">
        <f aca="false">IFERROR(CHOOSE(I50-3,"Svarantara","Audava","Shadava","Sampoorna"),"Other")</f>
        <v>Sampoorna</v>
      </c>
      <c r="L50" s="5" t="str">
        <f aca="false">J50&amp;" - "&amp;K50</f>
        <v>Sampoorna - Sampoorna</v>
      </c>
      <c r="M50" s="2" t="s">
        <v>24</v>
      </c>
      <c r="N50" s="2" t="s">
        <v>161</v>
      </c>
      <c r="O50" s="4" t="s">
        <v>26</v>
      </c>
      <c r="P50" s="2" t="s">
        <v>27</v>
      </c>
      <c r="Q50" s="4"/>
      <c r="R50" s="2" t="n">
        <v>39</v>
      </c>
      <c r="S50" s="2"/>
    </row>
    <row r="51" customFormat="false" ht="15" hidden="false" customHeight="false" outlineLevel="0" collapsed="false">
      <c r="A51" s="2" t="n">
        <v>50</v>
      </c>
      <c r="B51" s="3" t="s">
        <v>193</v>
      </c>
      <c r="C51" s="2" t="s">
        <v>48</v>
      </c>
      <c r="D51" s="2" t="n">
        <v>28</v>
      </c>
      <c r="E51" s="4" t="s">
        <v>55</v>
      </c>
      <c r="F51" s="5" t="s">
        <v>113</v>
      </c>
      <c r="G51" s="5" t="s">
        <v>45</v>
      </c>
      <c r="H51" s="2" t="n">
        <f aca="false">1+ISNUMBER(SEARCH("R",F51))+ISNUMBER(SEARCH("G",F51))+ISNUMBER(SEARCH("M",F51))+ISNUMBER(SEARCH("P",F51))+ISNUMBER(SEARCH("D",F51))+ISNUMBER(SEARCH("N",F51))</f>
        <v>5</v>
      </c>
      <c r="I51" s="2" t="n">
        <f aca="false">1+ISNUMBER(SEARCH("R",G51))+ISNUMBER(SEARCH("G",G51))+ISNUMBER(SEARCH("M",G51))+ISNUMBER(SEARCH("P",G51))+ISNUMBER(SEARCH("D",G51))+ISNUMBER(SEARCH("N",G51))</f>
        <v>7</v>
      </c>
      <c r="J51" s="2" t="str">
        <f aca="false">IFERROR(CHOOSE(H51-3,"Svarantara","Audava","Shadava","Sampoorna"),"Other")</f>
        <v>Audava</v>
      </c>
      <c r="K51" s="2" t="str">
        <f aca="false">IFERROR(CHOOSE(I51-3,"Svarantara","Audava","Shadava","Sampoorna"),"Other")</f>
        <v>Sampoorna</v>
      </c>
      <c r="L51" s="5" t="str">
        <f aca="false">J51&amp;" - "&amp;K51</f>
        <v>Audava - Sampoorna</v>
      </c>
      <c r="M51" s="2" t="s">
        <v>24</v>
      </c>
      <c r="N51" s="2" t="s">
        <v>161</v>
      </c>
      <c r="O51" s="4" t="s">
        <v>76</v>
      </c>
      <c r="P51" s="2" t="s">
        <v>27</v>
      </c>
      <c r="Q51" s="4"/>
      <c r="R51" s="2" t="n">
        <v>127</v>
      </c>
      <c r="S51" s="2"/>
    </row>
    <row r="52" customFormat="false" ht="15" hidden="false" customHeight="false" outlineLevel="0" collapsed="false">
      <c r="A52" s="2" t="n">
        <v>51</v>
      </c>
      <c r="B52" s="3" t="s">
        <v>194</v>
      </c>
      <c r="C52" s="2" t="s">
        <v>48</v>
      </c>
      <c r="D52" s="2" t="n">
        <v>53</v>
      </c>
      <c r="E52" s="4" t="s">
        <v>195</v>
      </c>
      <c r="F52" s="5" t="s">
        <v>196</v>
      </c>
      <c r="G52" s="5" t="s">
        <v>186</v>
      </c>
      <c r="H52" s="2" t="n">
        <f aca="false">1+ISNUMBER(SEARCH("R",F52))+ISNUMBER(SEARCH("G",F52))+ISNUMBER(SEARCH("M",F52))+ISNUMBER(SEARCH("P",F52))+ISNUMBER(SEARCH("D",F52))+ISNUMBER(SEARCH("N",F52))</f>
        <v>6</v>
      </c>
      <c r="I52" s="2" t="n">
        <f aca="false">1+ISNUMBER(SEARCH("R",G52))+ISNUMBER(SEARCH("G",G52))+ISNUMBER(SEARCH("M",G52))+ISNUMBER(SEARCH("P",G52))+ISNUMBER(SEARCH("D",G52))+ISNUMBER(SEARCH("N",G52))</f>
        <v>7</v>
      </c>
      <c r="J52" s="2" t="str">
        <f aca="false">IFERROR(CHOOSE(H52-3,"Svarantara","Audava","Shadava","Sampoorna"),"Other")</f>
        <v>Shadava</v>
      </c>
      <c r="K52" s="2" t="str">
        <f aca="false">IFERROR(CHOOSE(I52-3,"Svarantara","Audava","Shadava","Sampoorna"),"Other")</f>
        <v>Sampoorna</v>
      </c>
      <c r="L52" s="5" t="str">
        <f aca="false">J52&amp;" - "&amp;K52</f>
        <v>Shadava - Sampoorna</v>
      </c>
      <c r="M52" s="2" t="s">
        <v>75</v>
      </c>
      <c r="N52" s="2" t="s">
        <v>161</v>
      </c>
      <c r="O52" s="4" t="s">
        <v>76</v>
      </c>
      <c r="P52" s="2" t="s">
        <v>27</v>
      </c>
      <c r="Q52" s="4" t="s">
        <v>197</v>
      </c>
      <c r="R52" s="2" t="n">
        <v>164</v>
      </c>
      <c r="S52" s="2"/>
    </row>
    <row r="53" customFormat="false" ht="15" hidden="false" customHeight="false" outlineLevel="0" collapsed="false">
      <c r="A53" s="2" t="n">
        <v>52</v>
      </c>
      <c r="B53" s="3" t="s">
        <v>198</v>
      </c>
      <c r="C53" s="2" t="s">
        <v>48</v>
      </c>
      <c r="D53" s="2" t="n">
        <v>65</v>
      </c>
      <c r="E53" s="4" t="s">
        <v>199</v>
      </c>
      <c r="F53" s="5" t="s">
        <v>56</v>
      </c>
      <c r="G53" s="5" t="s">
        <v>30</v>
      </c>
      <c r="H53" s="2" t="n">
        <f aca="false">1+ISNUMBER(SEARCH("R",F53))+ISNUMBER(SEARCH("G",F53))+ISNUMBER(SEARCH("M",F53))+ISNUMBER(SEARCH("P",F53))+ISNUMBER(SEARCH("D",F53))+ISNUMBER(SEARCH("N",F53))</f>
        <v>5</v>
      </c>
      <c r="I53" s="2" t="n">
        <f aca="false">1+ISNUMBER(SEARCH("R",G53))+ISNUMBER(SEARCH("G",G53))+ISNUMBER(SEARCH("M",G53))+ISNUMBER(SEARCH("P",G53))+ISNUMBER(SEARCH("D",G53))+ISNUMBER(SEARCH("N",G53))</f>
        <v>7</v>
      </c>
      <c r="J53" s="2" t="str">
        <f aca="false">IFERROR(CHOOSE(H53-3,"Svarantara","Audava","Shadava","Sampoorna"),"Other")</f>
        <v>Audava</v>
      </c>
      <c r="K53" s="2" t="str">
        <f aca="false">IFERROR(CHOOSE(I53-3,"Svarantara","Audava","Shadava","Sampoorna"),"Other")</f>
        <v>Sampoorna</v>
      </c>
      <c r="L53" s="5" t="str">
        <f aca="false">J53&amp;" - "&amp;K53</f>
        <v>Audava - Sampoorna</v>
      </c>
      <c r="M53" s="2" t="s">
        <v>24</v>
      </c>
      <c r="N53" s="2" t="s">
        <v>161</v>
      </c>
      <c r="O53" s="4" t="s">
        <v>76</v>
      </c>
      <c r="P53" s="2" t="s">
        <v>27</v>
      </c>
      <c r="Q53" s="4"/>
      <c r="R53" s="2" t="n">
        <v>168</v>
      </c>
      <c r="S53" s="2"/>
    </row>
    <row r="54" customFormat="false" ht="15" hidden="false" customHeight="false" outlineLevel="0" collapsed="false">
      <c r="A54" s="2" t="n">
        <v>53</v>
      </c>
      <c r="B54" s="3" t="s">
        <v>200</v>
      </c>
      <c r="C54" s="2" t="s">
        <v>48</v>
      </c>
      <c r="D54" s="2" t="n">
        <v>65</v>
      </c>
      <c r="E54" s="4" t="s">
        <v>199</v>
      </c>
      <c r="F54" s="5" t="s">
        <v>29</v>
      </c>
      <c r="G54" s="5" t="s">
        <v>201</v>
      </c>
      <c r="H54" s="2" t="n">
        <f aca="false">1+ISNUMBER(SEARCH("R",F54))+ISNUMBER(SEARCH("G",F54))+ISNUMBER(SEARCH("M",F54))+ISNUMBER(SEARCH("P",F54))+ISNUMBER(SEARCH("D",F54))+ISNUMBER(SEARCH("N",F54))</f>
        <v>7</v>
      </c>
      <c r="I54" s="2" t="n">
        <f aca="false">1+ISNUMBER(SEARCH("R",G54))+ISNUMBER(SEARCH("G",G54))+ISNUMBER(SEARCH("M",G54))+ISNUMBER(SEARCH("P",G54))+ISNUMBER(SEARCH("D",G54))+ISNUMBER(SEARCH("N",G54))</f>
        <v>7</v>
      </c>
      <c r="J54" s="2" t="str">
        <f aca="false">IFERROR(CHOOSE(H54-3,"Svarantara","Audava","Shadava","Sampoorna"),"Other")</f>
        <v>Sampoorna</v>
      </c>
      <c r="K54" s="2" t="str">
        <f aca="false">IFERROR(CHOOSE(I54-3,"Svarantara","Audava","Shadava","Sampoorna"),"Other")</f>
        <v>Sampoorna</v>
      </c>
      <c r="L54" s="5" t="str">
        <f aca="false">J54&amp;" - "&amp;K54</f>
        <v>Sampoorna - Sampoorna</v>
      </c>
      <c r="M54" s="2" t="s">
        <v>75</v>
      </c>
      <c r="N54" s="2" t="s">
        <v>161</v>
      </c>
      <c r="O54" s="4" t="s">
        <v>76</v>
      </c>
      <c r="P54" s="6" t="s">
        <v>95</v>
      </c>
      <c r="Q54" s="4" t="s">
        <v>202</v>
      </c>
      <c r="R54" s="2" t="n">
        <v>167</v>
      </c>
      <c r="S54" s="2"/>
    </row>
    <row r="55" customFormat="false" ht="23.85" hidden="false" customHeight="false" outlineLevel="0" collapsed="false">
      <c r="A55" s="2" t="n">
        <v>54</v>
      </c>
      <c r="B55" s="3" t="s">
        <v>203</v>
      </c>
      <c r="C55" s="2" t="s">
        <v>48</v>
      </c>
      <c r="D55" s="2" t="n">
        <v>65</v>
      </c>
      <c r="E55" s="4" t="s">
        <v>199</v>
      </c>
      <c r="F55" s="5" t="s">
        <v>204</v>
      </c>
      <c r="G55" s="5" t="s">
        <v>201</v>
      </c>
      <c r="H55" s="2" t="n">
        <f aca="false">1+ISNUMBER(SEARCH("R",F55))+ISNUMBER(SEARCH("G",F55))+ISNUMBER(SEARCH("M",F55))+ISNUMBER(SEARCH("P",F55))+ISNUMBER(SEARCH("D",F55))+ISNUMBER(SEARCH("N",F55))</f>
        <v>6</v>
      </c>
      <c r="I55" s="2" t="n">
        <f aca="false">1+ISNUMBER(SEARCH("R",G55))+ISNUMBER(SEARCH("G",G55))+ISNUMBER(SEARCH("M",G55))+ISNUMBER(SEARCH("P",G55))+ISNUMBER(SEARCH("D",G55))+ISNUMBER(SEARCH("N",G55))</f>
        <v>7</v>
      </c>
      <c r="J55" s="2" t="str">
        <f aca="false">IFERROR(CHOOSE(H55-3,"Svarantara","Audava","Shadava","Sampoorna"),"Other")</f>
        <v>Shadava</v>
      </c>
      <c r="K55" s="2" t="str">
        <f aca="false">IFERROR(CHOOSE(I55-3,"Svarantara","Audava","Shadava","Sampoorna"),"Other")</f>
        <v>Sampoorna</v>
      </c>
      <c r="L55" s="5" t="str">
        <f aca="false">J55&amp;" - "&amp;K55</f>
        <v>Shadava - Sampoorna</v>
      </c>
      <c r="M55" s="2" t="s">
        <v>75</v>
      </c>
      <c r="N55" s="2" t="s">
        <v>161</v>
      </c>
      <c r="O55" s="4" t="s">
        <v>205</v>
      </c>
      <c r="P55" s="6" t="s">
        <v>95</v>
      </c>
      <c r="Q55" s="4" t="s">
        <v>206</v>
      </c>
      <c r="R55" s="2" t="n">
        <v>166</v>
      </c>
      <c r="S55" s="2"/>
    </row>
    <row r="56" customFormat="false" ht="23.85" hidden="false" customHeight="false" outlineLevel="0" collapsed="false">
      <c r="A56" s="2" t="n">
        <v>55</v>
      </c>
      <c r="B56" s="3" t="s">
        <v>207</v>
      </c>
      <c r="C56" s="2" t="s">
        <v>48</v>
      </c>
      <c r="D56" s="2" t="n">
        <v>65</v>
      </c>
      <c r="E56" s="4" t="s">
        <v>199</v>
      </c>
      <c r="F56" s="5" t="s">
        <v>208</v>
      </c>
      <c r="G56" s="5" t="s">
        <v>209</v>
      </c>
      <c r="H56" s="2" t="n">
        <f aca="false">1+ISNUMBER(SEARCH("R",F56))+ISNUMBER(SEARCH("G",F56))+ISNUMBER(SEARCH("M",F56))+ISNUMBER(SEARCH("P",F56))+ISNUMBER(SEARCH("D",F56))+ISNUMBER(SEARCH("N",F56))</f>
        <v>5</v>
      </c>
      <c r="I56" s="2" t="n">
        <f aca="false">1+ISNUMBER(SEARCH("R",G56))+ISNUMBER(SEARCH("G",G56))+ISNUMBER(SEARCH("M",G56))+ISNUMBER(SEARCH("P",G56))+ISNUMBER(SEARCH("D",G56))+ISNUMBER(SEARCH("N",G56))</f>
        <v>5</v>
      </c>
      <c r="J56" s="2" t="str">
        <f aca="false">IFERROR(CHOOSE(H56-3,"Svarantara","Audava","Shadava","Sampoorna"),"Other")</f>
        <v>Audava</v>
      </c>
      <c r="K56" s="2" t="str">
        <f aca="false">IFERROR(CHOOSE(I56-3,"Svarantara","Audava","Shadava","Sampoorna"),"Other")</f>
        <v>Audava</v>
      </c>
      <c r="L56" s="5" t="str">
        <f aca="false">J56&amp;" - "&amp;K56</f>
        <v>Audava - Audava</v>
      </c>
      <c r="M56" s="2" t="s">
        <v>24</v>
      </c>
      <c r="N56" s="2" t="s">
        <v>161</v>
      </c>
      <c r="O56" s="4" t="s">
        <v>76</v>
      </c>
      <c r="P56" s="2" t="s">
        <v>27</v>
      </c>
      <c r="Q56" s="4" t="s">
        <v>210</v>
      </c>
      <c r="R56" s="2" t="n">
        <v>170</v>
      </c>
      <c r="S56" s="2"/>
    </row>
    <row r="57" customFormat="false" ht="15" hidden="false" customHeight="false" outlineLevel="0" collapsed="false">
      <c r="A57" s="2" t="n">
        <v>56</v>
      </c>
      <c r="B57" s="3" t="s">
        <v>211</v>
      </c>
      <c r="C57" s="2" t="s">
        <v>48</v>
      </c>
      <c r="D57" s="2" t="n">
        <v>53</v>
      </c>
      <c r="E57" s="4" t="s">
        <v>195</v>
      </c>
      <c r="F57" s="5" t="s">
        <v>212</v>
      </c>
      <c r="G57" s="5" t="s">
        <v>213</v>
      </c>
      <c r="H57" s="2" t="n">
        <f aca="false">1+ISNUMBER(SEARCH("R",F57))+ISNUMBER(SEARCH("G",F57))+ISNUMBER(SEARCH("M",F57))+ISNUMBER(SEARCH("P",F57))+ISNUMBER(SEARCH("D",F57))+ISNUMBER(SEARCH("N",F57))</f>
        <v>6</v>
      </c>
      <c r="I57" s="2" t="n">
        <f aca="false">1+ISNUMBER(SEARCH("R",G57))+ISNUMBER(SEARCH("G",G57))+ISNUMBER(SEARCH("M",G57))+ISNUMBER(SEARCH("P",G57))+ISNUMBER(SEARCH("D",G57))+ISNUMBER(SEARCH("N",G57))</f>
        <v>6</v>
      </c>
      <c r="J57" s="2" t="str">
        <f aca="false">IFERROR(CHOOSE(H57-3,"Svarantara","Audava","Shadava","Sampoorna"),"Other")</f>
        <v>Shadava</v>
      </c>
      <c r="K57" s="2" t="str">
        <f aca="false">IFERROR(CHOOSE(I57-3,"Svarantara","Audava","Shadava","Sampoorna"),"Other")</f>
        <v>Shadava</v>
      </c>
      <c r="L57" s="5" t="str">
        <f aca="false">J57&amp;" - "&amp;K57</f>
        <v>Shadava - Shadava</v>
      </c>
      <c r="M57" s="2" t="s">
        <v>24</v>
      </c>
      <c r="N57" s="2" t="s">
        <v>161</v>
      </c>
      <c r="O57" s="4" t="s">
        <v>76</v>
      </c>
      <c r="P57" s="2" t="s">
        <v>27</v>
      </c>
      <c r="Q57" s="4" t="s">
        <v>214</v>
      </c>
      <c r="R57" s="2" t="n">
        <v>163</v>
      </c>
      <c r="S57" s="2"/>
    </row>
    <row r="58" customFormat="false" ht="15" hidden="false" customHeight="false" outlineLevel="0" collapsed="false">
      <c r="A58" s="2" t="n">
        <v>57</v>
      </c>
      <c r="B58" s="3" t="s">
        <v>215</v>
      </c>
      <c r="C58" s="2" t="s">
        <v>48</v>
      </c>
      <c r="D58" s="2" t="n">
        <v>15</v>
      </c>
      <c r="E58" s="4" t="s">
        <v>84</v>
      </c>
      <c r="F58" s="5" t="s">
        <v>216</v>
      </c>
      <c r="G58" s="5" t="s">
        <v>217</v>
      </c>
      <c r="H58" s="2" t="n">
        <f aca="false">1+ISNUMBER(SEARCH("R",F58))+ISNUMBER(SEARCH("G",F58))+ISNUMBER(SEARCH("M",F58))+ISNUMBER(SEARCH("P",F58))+ISNUMBER(SEARCH("D",F58))+ISNUMBER(SEARCH("N",F58))</f>
        <v>5</v>
      </c>
      <c r="I58" s="2" t="n">
        <f aca="false">1+ISNUMBER(SEARCH("R",G58))+ISNUMBER(SEARCH("G",G58))+ISNUMBER(SEARCH("M",G58))+ISNUMBER(SEARCH("P",G58))+ISNUMBER(SEARCH("D",G58))+ISNUMBER(SEARCH("N",G58))</f>
        <v>6</v>
      </c>
      <c r="J58" s="2" t="str">
        <f aca="false">IFERROR(CHOOSE(H58-3,"Svarantara","Audava","Shadava","Sampoorna"),"Other")</f>
        <v>Audava</v>
      </c>
      <c r="K58" s="2" t="str">
        <f aca="false">IFERROR(CHOOSE(I58-3,"Svarantara","Audava","Shadava","Sampoorna"),"Other")</f>
        <v>Shadava</v>
      </c>
      <c r="L58" s="5" t="str">
        <f aca="false">J58&amp;" - "&amp;K58</f>
        <v>Audava - Shadava</v>
      </c>
      <c r="M58" s="2" t="s">
        <v>75</v>
      </c>
      <c r="N58" s="2" t="s">
        <v>161</v>
      </c>
      <c r="O58" s="4" t="s">
        <v>76</v>
      </c>
      <c r="P58" s="2" t="s">
        <v>27</v>
      </c>
      <c r="Q58" s="4" t="s">
        <v>126</v>
      </c>
      <c r="R58" s="2" t="n">
        <v>84</v>
      </c>
      <c r="S58" s="2"/>
    </row>
    <row r="59" customFormat="false" ht="15" hidden="false" customHeight="false" outlineLevel="0" collapsed="false">
      <c r="A59" s="2" t="n">
        <v>58</v>
      </c>
      <c r="B59" s="3" t="s">
        <v>218</v>
      </c>
      <c r="C59" s="2" t="s">
        <v>48</v>
      </c>
      <c r="D59" s="2" t="n">
        <v>36</v>
      </c>
      <c r="E59" s="4" t="s">
        <v>219</v>
      </c>
      <c r="F59" s="5" t="s">
        <v>220</v>
      </c>
      <c r="G59" s="5" t="s">
        <v>221</v>
      </c>
      <c r="H59" s="2" t="n">
        <f aca="false">1+ISNUMBER(SEARCH("R",F59))+ISNUMBER(SEARCH("G",F59))+ISNUMBER(SEARCH("M",F59))+ISNUMBER(SEARCH("P",F59))+ISNUMBER(SEARCH("D",F59))+ISNUMBER(SEARCH("N",F59))</f>
        <v>6</v>
      </c>
      <c r="I59" s="2" t="n">
        <f aca="false">1+ISNUMBER(SEARCH("R",G59))+ISNUMBER(SEARCH("G",G59))+ISNUMBER(SEARCH("M",G59))+ISNUMBER(SEARCH("P",G59))+ISNUMBER(SEARCH("D",G59))+ISNUMBER(SEARCH("N",G59))</f>
        <v>6</v>
      </c>
      <c r="J59" s="2" t="str">
        <f aca="false">IFERROR(CHOOSE(H59-3,"Svarantara","Audava","Shadava","Sampoorna"),"Other")</f>
        <v>Shadava</v>
      </c>
      <c r="K59" s="2" t="str">
        <f aca="false">IFERROR(CHOOSE(I59-3,"Svarantara","Audava","Shadava","Sampoorna"),"Other")</f>
        <v>Shadava</v>
      </c>
      <c r="L59" s="5" t="str">
        <f aca="false">J59&amp;" - "&amp;K59</f>
        <v>Shadava - Shadava</v>
      </c>
      <c r="M59" s="2" t="s">
        <v>24</v>
      </c>
      <c r="N59" s="2" t="s">
        <v>161</v>
      </c>
      <c r="O59" s="4" t="s">
        <v>76</v>
      </c>
      <c r="P59" s="2" t="s">
        <v>27</v>
      </c>
      <c r="Q59" s="4"/>
      <c r="R59" s="2" t="n">
        <v>160</v>
      </c>
      <c r="S59" s="2"/>
    </row>
    <row r="60" customFormat="false" ht="15" hidden="false" customHeight="false" outlineLevel="0" collapsed="false">
      <c r="A60" s="2" t="n">
        <v>59</v>
      </c>
      <c r="B60" s="3" t="s">
        <v>222</v>
      </c>
      <c r="C60" s="2" t="s">
        <v>48</v>
      </c>
      <c r="D60" s="2" t="n">
        <v>15</v>
      </c>
      <c r="E60" s="4" t="s">
        <v>84</v>
      </c>
      <c r="F60" s="5" t="s">
        <v>223</v>
      </c>
      <c r="G60" s="5" t="s">
        <v>224</v>
      </c>
      <c r="H60" s="2" t="n">
        <f aca="false">1+ISNUMBER(SEARCH("R",F60))+ISNUMBER(SEARCH("G",F60))+ISNUMBER(SEARCH("M",F60))+ISNUMBER(SEARCH("P",F60))+ISNUMBER(SEARCH("D",F60))+ISNUMBER(SEARCH("N",F60))</f>
        <v>5</v>
      </c>
      <c r="I60" s="2" t="n">
        <f aca="false">1+ISNUMBER(SEARCH("R",G60))+ISNUMBER(SEARCH("G",G60))+ISNUMBER(SEARCH("M",G60))+ISNUMBER(SEARCH("P",G60))+ISNUMBER(SEARCH("D",G60))+ISNUMBER(SEARCH("N",G60))</f>
        <v>6</v>
      </c>
      <c r="J60" s="2" t="str">
        <f aca="false">IFERROR(CHOOSE(H60-3,"Svarantara","Audava","Shadava","Sampoorna"),"Other")</f>
        <v>Audava</v>
      </c>
      <c r="K60" s="2" t="str">
        <f aca="false">IFERROR(CHOOSE(I60-3,"Svarantara","Audava","Shadava","Sampoorna"),"Other")</f>
        <v>Shadava</v>
      </c>
      <c r="L60" s="5" t="str">
        <f aca="false">J60&amp;" - "&amp;K60</f>
        <v>Audava - Shadava</v>
      </c>
      <c r="M60" s="2" t="s">
        <v>24</v>
      </c>
      <c r="N60" s="2" t="s">
        <v>161</v>
      </c>
      <c r="O60" s="4" t="s">
        <v>76</v>
      </c>
      <c r="P60" s="2" t="s">
        <v>27</v>
      </c>
      <c r="Q60" s="4"/>
      <c r="R60" s="2" t="n">
        <v>87</v>
      </c>
      <c r="S60" s="2"/>
    </row>
    <row r="61" customFormat="false" ht="15" hidden="false" customHeight="false" outlineLevel="0" collapsed="false">
      <c r="A61" s="2" t="n">
        <v>60</v>
      </c>
      <c r="B61" s="3" t="s">
        <v>225</v>
      </c>
      <c r="C61" s="2" t="s">
        <v>48</v>
      </c>
      <c r="D61" s="2" t="n">
        <v>15</v>
      </c>
      <c r="E61" s="4" t="s">
        <v>84</v>
      </c>
      <c r="F61" s="5" t="s">
        <v>226</v>
      </c>
      <c r="G61" s="5" t="s">
        <v>227</v>
      </c>
      <c r="H61" s="2" t="n">
        <f aca="false">1+ISNUMBER(SEARCH("R",F61))+ISNUMBER(SEARCH("G",F61))+ISNUMBER(SEARCH("M",F61))+ISNUMBER(SEARCH("P",F61))+ISNUMBER(SEARCH("D",F61))+ISNUMBER(SEARCH("N",F61))</f>
        <v>6</v>
      </c>
      <c r="I61" s="2" t="n">
        <f aca="false">1+ISNUMBER(SEARCH("R",G61))+ISNUMBER(SEARCH("G",G61))+ISNUMBER(SEARCH("M",G61))+ISNUMBER(SEARCH("P",G61))+ISNUMBER(SEARCH("D",G61))+ISNUMBER(SEARCH("N",G61))</f>
        <v>6</v>
      </c>
      <c r="J61" s="2" t="str">
        <f aca="false">IFERROR(CHOOSE(H61-3,"Svarantara","Audava","Shadava","Sampoorna"),"Other")</f>
        <v>Shadava</v>
      </c>
      <c r="K61" s="2" t="str">
        <f aca="false">IFERROR(CHOOSE(I61-3,"Svarantara","Audava","Shadava","Sampoorna"),"Other")</f>
        <v>Shadava</v>
      </c>
      <c r="L61" s="5" t="str">
        <f aca="false">J61&amp;" - "&amp;K61</f>
        <v>Shadava - Shadava</v>
      </c>
      <c r="M61" s="2" t="s">
        <v>24</v>
      </c>
      <c r="N61" s="2" t="s">
        <v>161</v>
      </c>
      <c r="O61" s="4" t="s">
        <v>76</v>
      </c>
      <c r="P61" s="2" t="s">
        <v>27</v>
      </c>
      <c r="Q61" s="4" t="s">
        <v>214</v>
      </c>
      <c r="R61" s="2" t="n">
        <v>88</v>
      </c>
      <c r="S61" s="2"/>
    </row>
    <row r="62" customFormat="false" ht="23.85" hidden="false" customHeight="false" outlineLevel="0" collapsed="false">
      <c r="A62" s="2" t="n">
        <v>61</v>
      </c>
      <c r="B62" s="3" t="s">
        <v>228</v>
      </c>
      <c r="C62" s="2" t="s">
        <v>48</v>
      </c>
      <c r="D62" s="2" t="n">
        <v>15</v>
      </c>
      <c r="E62" s="4" t="s">
        <v>84</v>
      </c>
      <c r="F62" s="5" t="s">
        <v>85</v>
      </c>
      <c r="G62" s="5" t="s">
        <v>229</v>
      </c>
      <c r="H62" s="2" t="n">
        <f aca="false">1+ISNUMBER(SEARCH("R",F62))+ISNUMBER(SEARCH("G",F62))+ISNUMBER(SEARCH("M",F62))+ISNUMBER(SEARCH("P",F62))+ISNUMBER(SEARCH("D",F62))+ISNUMBER(SEARCH("N",F62))</f>
        <v>5</v>
      </c>
      <c r="I62" s="2" t="n">
        <f aca="false">1+ISNUMBER(SEARCH("R",G62))+ISNUMBER(SEARCH("G",G62))+ISNUMBER(SEARCH("M",G62))+ISNUMBER(SEARCH("P",G62))+ISNUMBER(SEARCH("D",G62))+ISNUMBER(SEARCH("N",G62))</f>
        <v>5</v>
      </c>
      <c r="J62" s="2" t="str">
        <f aca="false">IFERROR(CHOOSE(H62-3,"Svarantara","Audava","Shadava","Sampoorna"),"Other")</f>
        <v>Audava</v>
      </c>
      <c r="K62" s="2" t="str">
        <f aca="false">IFERROR(CHOOSE(I62-3,"Svarantara","Audava","Shadava","Sampoorna"),"Other")</f>
        <v>Audava</v>
      </c>
      <c r="L62" s="5" t="str">
        <f aca="false">J62&amp;" - "&amp;K62</f>
        <v>Audava - Audava</v>
      </c>
      <c r="M62" s="2" t="s">
        <v>24</v>
      </c>
      <c r="N62" s="2" t="s">
        <v>161</v>
      </c>
      <c r="O62" s="4" t="s">
        <v>52</v>
      </c>
      <c r="P62" s="6" t="s">
        <v>95</v>
      </c>
      <c r="Q62" s="4" t="s">
        <v>230</v>
      </c>
      <c r="R62" s="2" t="n">
        <v>89</v>
      </c>
      <c r="S62" s="2"/>
    </row>
    <row r="63" customFormat="false" ht="15" hidden="false" customHeight="false" outlineLevel="0" collapsed="false">
      <c r="A63" s="2" t="n">
        <v>62</v>
      </c>
      <c r="B63" s="3" t="s">
        <v>231</v>
      </c>
      <c r="C63" s="2" t="s">
        <v>48</v>
      </c>
      <c r="D63" s="2" t="n">
        <v>15</v>
      </c>
      <c r="E63" s="4" t="s">
        <v>84</v>
      </c>
      <c r="F63" s="5" t="s">
        <v>232</v>
      </c>
      <c r="G63" s="5" t="s">
        <v>233</v>
      </c>
      <c r="H63" s="2" t="n">
        <f aca="false">1+ISNUMBER(SEARCH("R",F63))+ISNUMBER(SEARCH("G",F63))+ISNUMBER(SEARCH("M",F63))+ISNUMBER(SEARCH("P",F63))+ISNUMBER(SEARCH("D",F63))+ISNUMBER(SEARCH("N",F63))</f>
        <v>5</v>
      </c>
      <c r="I63" s="2" t="n">
        <f aca="false">1+ISNUMBER(SEARCH("R",G63))+ISNUMBER(SEARCH("G",G63))+ISNUMBER(SEARCH("M",G63))+ISNUMBER(SEARCH("P",G63))+ISNUMBER(SEARCH("D",G63))+ISNUMBER(SEARCH("N",G63))</f>
        <v>6</v>
      </c>
      <c r="J63" s="2" t="str">
        <f aca="false">IFERROR(CHOOSE(H63-3,"Svarantara","Audava","Shadava","Sampoorna"),"Other")</f>
        <v>Audava</v>
      </c>
      <c r="K63" s="2" t="str">
        <f aca="false">IFERROR(CHOOSE(I63-3,"Svarantara","Audava","Shadava","Sampoorna"),"Other")</f>
        <v>Shadava</v>
      </c>
      <c r="L63" s="5" t="str">
        <f aca="false">J63&amp;" - "&amp;K63</f>
        <v>Audava - Shadava</v>
      </c>
      <c r="M63" s="2" t="s">
        <v>24</v>
      </c>
      <c r="N63" s="2" t="s">
        <v>161</v>
      </c>
      <c r="O63" s="4" t="s">
        <v>76</v>
      </c>
      <c r="P63" s="2" t="s">
        <v>27</v>
      </c>
      <c r="Q63" s="4"/>
      <c r="R63" s="2" t="n">
        <v>98</v>
      </c>
      <c r="S63" s="2"/>
    </row>
    <row r="64" customFormat="false" ht="23.85" hidden="false" customHeight="false" outlineLevel="0" collapsed="false">
      <c r="A64" s="2" t="n">
        <v>63</v>
      </c>
      <c r="B64" s="3" t="s">
        <v>234</v>
      </c>
      <c r="C64" s="2" t="s">
        <v>48</v>
      </c>
      <c r="D64" s="2" t="n">
        <v>16</v>
      </c>
      <c r="E64" s="4" t="s">
        <v>235</v>
      </c>
      <c r="F64" s="5" t="s">
        <v>236</v>
      </c>
      <c r="G64" s="5" t="s">
        <v>183</v>
      </c>
      <c r="H64" s="2" t="n">
        <f aca="false">1+ISNUMBER(SEARCH("R",F64))+ISNUMBER(SEARCH("G",F64))+ISNUMBER(SEARCH("M",F64))+ISNUMBER(SEARCH("P",F64))+ISNUMBER(SEARCH("D",F64))+ISNUMBER(SEARCH("N",F64))</f>
        <v>7</v>
      </c>
      <c r="I64" s="2" t="n">
        <f aca="false">1+ISNUMBER(SEARCH("R",G64))+ISNUMBER(SEARCH("G",G64))+ISNUMBER(SEARCH("M",G64))+ISNUMBER(SEARCH("P",G64))+ISNUMBER(SEARCH("D",G64))+ISNUMBER(SEARCH("N",G64))</f>
        <v>7</v>
      </c>
      <c r="J64" s="2" t="str">
        <f aca="false">IFERROR(CHOOSE(H64-3,"Svarantara","Audava","Shadava","Sampoorna"),"Other")</f>
        <v>Sampoorna</v>
      </c>
      <c r="K64" s="2" t="str">
        <f aca="false">IFERROR(CHOOSE(I64-3,"Svarantara","Audava","Shadava","Sampoorna"),"Other")</f>
        <v>Sampoorna</v>
      </c>
      <c r="L64" s="5" t="str">
        <f aca="false">J64&amp;" - "&amp;K64</f>
        <v>Sampoorna - Sampoorna</v>
      </c>
      <c r="M64" s="2" t="s">
        <v>75</v>
      </c>
      <c r="N64" s="2" t="s">
        <v>161</v>
      </c>
      <c r="O64" s="4" t="s">
        <v>237</v>
      </c>
      <c r="P64" s="6" t="s">
        <v>95</v>
      </c>
      <c r="Q64" s="4" t="s">
        <v>238</v>
      </c>
      <c r="R64" s="2" t="n">
        <v>99</v>
      </c>
      <c r="S64" s="2"/>
    </row>
    <row r="65" customFormat="false" ht="15" hidden="false" customHeight="false" outlineLevel="0" collapsed="false">
      <c r="A65" s="2" t="n">
        <v>64</v>
      </c>
      <c r="B65" s="3" t="s">
        <v>239</v>
      </c>
      <c r="C65" s="2" t="s">
        <v>48</v>
      </c>
      <c r="D65" s="2" t="n">
        <v>8</v>
      </c>
      <c r="E65" s="4" t="s">
        <v>128</v>
      </c>
      <c r="F65" s="5" t="s">
        <v>240</v>
      </c>
      <c r="G65" s="5" t="s">
        <v>241</v>
      </c>
      <c r="H65" s="2" t="n">
        <f aca="false">1+ISNUMBER(SEARCH("R",F65))+ISNUMBER(SEARCH("G",F65))+ISNUMBER(SEARCH("M",F65))+ISNUMBER(SEARCH("P",F65))+ISNUMBER(SEARCH("D",F65))+ISNUMBER(SEARCH("N",F65))</f>
        <v>5</v>
      </c>
      <c r="I65" s="2" t="n">
        <f aca="false">1+ISNUMBER(SEARCH("R",G65))+ISNUMBER(SEARCH("G",G65))+ISNUMBER(SEARCH("M",G65))+ISNUMBER(SEARCH("P",G65))+ISNUMBER(SEARCH("D",G65))+ISNUMBER(SEARCH("N",G65))</f>
        <v>5</v>
      </c>
      <c r="J65" s="2" t="str">
        <f aca="false">IFERROR(CHOOSE(H65-3,"Svarantara","Audava","Shadava","Sampoorna"),"Other")</f>
        <v>Audava</v>
      </c>
      <c r="K65" s="2" t="str">
        <f aca="false">IFERROR(CHOOSE(I65-3,"Svarantara","Audava","Shadava","Sampoorna"),"Other")</f>
        <v>Audava</v>
      </c>
      <c r="L65" s="5" t="str">
        <f aca="false">J65&amp;" - "&amp;K65</f>
        <v>Audava - Audava</v>
      </c>
      <c r="M65" s="2" t="s">
        <v>24</v>
      </c>
      <c r="N65" s="2" t="s">
        <v>161</v>
      </c>
      <c r="O65" s="4" t="s">
        <v>76</v>
      </c>
      <c r="P65" s="2" t="s">
        <v>27</v>
      </c>
      <c r="Q65" s="4"/>
      <c r="R65" s="2" t="n">
        <v>75</v>
      </c>
      <c r="S65" s="2"/>
    </row>
    <row r="66" customFormat="false" ht="15" hidden="false" customHeight="false" outlineLevel="0" collapsed="false">
      <c r="A66" s="2" t="n">
        <v>65</v>
      </c>
      <c r="B66" s="3" t="s">
        <v>242</v>
      </c>
      <c r="C66" s="2" t="s">
        <v>48</v>
      </c>
      <c r="D66" s="2" t="n">
        <v>20</v>
      </c>
      <c r="E66" s="4" t="s">
        <v>49</v>
      </c>
      <c r="F66" s="5" t="s">
        <v>243</v>
      </c>
      <c r="G66" s="5" t="s">
        <v>41</v>
      </c>
      <c r="H66" s="2" t="n">
        <f aca="false">1+ISNUMBER(SEARCH("R",F66))+ISNUMBER(SEARCH("G",F66))+ISNUMBER(SEARCH("M",F66))+ISNUMBER(SEARCH("P",F66))+ISNUMBER(SEARCH("D",F66))+ISNUMBER(SEARCH("N",F66))</f>
        <v>7</v>
      </c>
      <c r="I66" s="2" t="n">
        <f aca="false">1+ISNUMBER(SEARCH("R",G66))+ISNUMBER(SEARCH("G",G66))+ISNUMBER(SEARCH("M",G66))+ISNUMBER(SEARCH("P",G66))+ISNUMBER(SEARCH("D",G66))+ISNUMBER(SEARCH("N",G66))</f>
        <v>7</v>
      </c>
      <c r="J66" s="2" t="str">
        <f aca="false">IFERROR(CHOOSE(H66-3,"Svarantara","Audava","Shadava","Sampoorna"),"Other")</f>
        <v>Sampoorna</v>
      </c>
      <c r="K66" s="2" t="str">
        <f aca="false">IFERROR(CHOOSE(I66-3,"Svarantara","Audava","Shadava","Sampoorna"),"Other")</f>
        <v>Sampoorna</v>
      </c>
      <c r="L66" s="5" t="str">
        <f aca="false">J66&amp;" - "&amp;K66</f>
        <v>Sampoorna - Sampoorna</v>
      </c>
      <c r="M66" s="2" t="s">
        <v>75</v>
      </c>
      <c r="N66" s="2" t="s">
        <v>161</v>
      </c>
      <c r="O66" s="4" t="s">
        <v>76</v>
      </c>
      <c r="P66" s="6" t="s">
        <v>95</v>
      </c>
      <c r="Q66" s="4" t="s">
        <v>244</v>
      </c>
      <c r="R66" s="2" t="n">
        <v>105</v>
      </c>
      <c r="S66" s="2"/>
    </row>
    <row r="67" customFormat="false" ht="23.85" hidden="false" customHeight="false" outlineLevel="0" collapsed="false">
      <c r="A67" s="2" t="n">
        <v>66</v>
      </c>
      <c r="B67" s="3" t="s">
        <v>245</v>
      </c>
      <c r="C67" s="2" t="s">
        <v>48</v>
      </c>
      <c r="D67" s="2" t="n">
        <v>22</v>
      </c>
      <c r="E67" s="4" t="s">
        <v>89</v>
      </c>
      <c r="F67" s="5" t="s">
        <v>246</v>
      </c>
      <c r="G67" s="5" t="s">
        <v>247</v>
      </c>
      <c r="H67" s="2" t="n">
        <f aca="false">1+ISNUMBER(SEARCH("R",F67))+ISNUMBER(SEARCH("G",F67))+ISNUMBER(SEARCH("M",F67))+ISNUMBER(SEARCH("P",F67))+ISNUMBER(SEARCH("D",F67))+ISNUMBER(SEARCH("N",F67))</f>
        <v>6</v>
      </c>
      <c r="I67" s="2" t="n">
        <f aca="false">1+ISNUMBER(SEARCH("R",G67))+ISNUMBER(SEARCH("G",G67))+ISNUMBER(SEARCH("M",G67))+ISNUMBER(SEARCH("P",G67))+ISNUMBER(SEARCH("D",G67))+ISNUMBER(SEARCH("N",G67))</f>
        <v>7</v>
      </c>
      <c r="J67" s="2" t="str">
        <f aca="false">IFERROR(CHOOSE(H67-3,"Svarantara","Audava","Shadava","Sampoorna"),"Other")</f>
        <v>Shadava</v>
      </c>
      <c r="K67" s="2" t="str">
        <f aca="false">IFERROR(CHOOSE(I67-3,"Svarantara","Audava","Shadava","Sampoorna"),"Other")</f>
        <v>Sampoorna</v>
      </c>
      <c r="L67" s="5" t="str">
        <f aca="false">J67&amp;" - "&amp;K67</f>
        <v>Shadava - Sampoorna</v>
      </c>
      <c r="M67" s="2" t="s">
        <v>75</v>
      </c>
      <c r="N67" s="2" t="s">
        <v>161</v>
      </c>
      <c r="O67" s="4" t="s">
        <v>103</v>
      </c>
      <c r="P67" s="6" t="s">
        <v>95</v>
      </c>
      <c r="Q67" s="4" t="s">
        <v>248</v>
      </c>
      <c r="R67" s="2" t="n">
        <v>109</v>
      </c>
      <c r="S67" s="2"/>
    </row>
    <row r="68" customFormat="false" ht="15" hidden="false" customHeight="false" outlineLevel="0" collapsed="false">
      <c r="A68" s="2" t="n">
        <v>67</v>
      </c>
      <c r="B68" s="3" t="s">
        <v>249</v>
      </c>
      <c r="C68" s="2" t="s">
        <v>48</v>
      </c>
      <c r="D68" s="2" t="n">
        <v>22</v>
      </c>
      <c r="E68" s="4" t="s">
        <v>89</v>
      </c>
      <c r="F68" s="5" t="s">
        <v>250</v>
      </c>
      <c r="G68" s="5" t="s">
        <v>251</v>
      </c>
      <c r="H68" s="2" t="n">
        <f aca="false">1+ISNUMBER(SEARCH("R",F68))+ISNUMBER(SEARCH("G",F68))+ISNUMBER(SEARCH("M",F68))+ISNUMBER(SEARCH("P",F68))+ISNUMBER(SEARCH("D",F68))+ISNUMBER(SEARCH("N",F68))</f>
        <v>5</v>
      </c>
      <c r="I68" s="2" t="n">
        <f aca="false">1+ISNUMBER(SEARCH("R",G68))+ISNUMBER(SEARCH("G",G68))+ISNUMBER(SEARCH("M",G68))+ISNUMBER(SEARCH("P",G68))+ISNUMBER(SEARCH("D",G68))+ISNUMBER(SEARCH("N",G68))</f>
        <v>7</v>
      </c>
      <c r="J68" s="2" t="str">
        <f aca="false">IFERROR(CHOOSE(H68-3,"Svarantara","Audava","Shadava","Sampoorna"),"Other")</f>
        <v>Audava</v>
      </c>
      <c r="K68" s="2" t="str">
        <f aca="false">IFERROR(CHOOSE(I68-3,"Svarantara","Audava","Shadava","Sampoorna"),"Other")</f>
        <v>Sampoorna</v>
      </c>
      <c r="L68" s="5" t="str">
        <f aca="false">J68&amp;" - "&amp;K68</f>
        <v>Audava - Sampoorna</v>
      </c>
      <c r="M68" s="2" t="s">
        <v>75</v>
      </c>
      <c r="N68" s="2" t="s">
        <v>161</v>
      </c>
      <c r="O68" s="4" t="s">
        <v>76</v>
      </c>
      <c r="P68" s="2" t="s">
        <v>27</v>
      </c>
      <c r="Q68" s="4" t="s">
        <v>126</v>
      </c>
      <c r="R68" s="2" t="n">
        <v>112</v>
      </c>
      <c r="S68" s="2"/>
    </row>
    <row r="69" customFormat="false" ht="23.85" hidden="false" customHeight="false" outlineLevel="0" collapsed="false">
      <c r="A69" s="2" t="n">
        <v>68</v>
      </c>
      <c r="B69" s="3" t="s">
        <v>252</v>
      </c>
      <c r="C69" s="2" t="s">
        <v>48</v>
      </c>
      <c r="D69" s="2" t="n">
        <v>22</v>
      </c>
      <c r="E69" s="4" t="s">
        <v>89</v>
      </c>
      <c r="F69" s="5" t="s">
        <v>106</v>
      </c>
      <c r="G69" s="5" t="s">
        <v>91</v>
      </c>
      <c r="H69" s="2" t="n">
        <f aca="false">1+ISNUMBER(SEARCH("R",F69))+ISNUMBER(SEARCH("G",F69))+ISNUMBER(SEARCH("M",F69))+ISNUMBER(SEARCH("P",F69))+ISNUMBER(SEARCH("D",F69))+ISNUMBER(SEARCH("N",F69))</f>
        <v>5</v>
      </c>
      <c r="I69" s="2" t="n">
        <f aca="false">1+ISNUMBER(SEARCH("R",G69))+ISNUMBER(SEARCH("G",G69))+ISNUMBER(SEARCH("M",G69))+ISNUMBER(SEARCH("P",G69))+ISNUMBER(SEARCH("D",G69))+ISNUMBER(SEARCH("N",G69))</f>
        <v>5</v>
      </c>
      <c r="J69" s="2" t="str">
        <f aca="false">IFERROR(CHOOSE(H69-3,"Svarantara","Audava","Shadava","Sampoorna"),"Other")</f>
        <v>Audava</v>
      </c>
      <c r="K69" s="2" t="str">
        <f aca="false">IFERROR(CHOOSE(I69-3,"Svarantara","Audava","Shadava","Sampoorna"),"Other")</f>
        <v>Audava</v>
      </c>
      <c r="L69" s="5" t="str">
        <f aca="false">J69&amp;" - "&amp;K69</f>
        <v>Audava - Audava</v>
      </c>
      <c r="M69" s="2" t="s">
        <v>24</v>
      </c>
      <c r="N69" s="2" t="s">
        <v>161</v>
      </c>
      <c r="O69" s="4" t="s">
        <v>253</v>
      </c>
      <c r="P69" s="6" t="s">
        <v>95</v>
      </c>
      <c r="Q69" s="4" t="s">
        <v>254</v>
      </c>
      <c r="R69" s="2" t="n">
        <v>157</v>
      </c>
      <c r="S69" s="2"/>
    </row>
    <row r="70" customFormat="false" ht="23.85" hidden="false" customHeight="false" outlineLevel="0" collapsed="false">
      <c r="A70" s="2" t="n">
        <v>69</v>
      </c>
      <c r="B70" s="3" t="s">
        <v>255</v>
      </c>
      <c r="C70" s="2" t="s">
        <v>48</v>
      </c>
      <c r="D70" s="2" t="n">
        <v>29</v>
      </c>
      <c r="E70" s="4" t="s">
        <v>73</v>
      </c>
      <c r="F70" s="5" t="s">
        <v>256</v>
      </c>
      <c r="G70" s="5" t="s">
        <v>257</v>
      </c>
      <c r="H70" s="2" t="n">
        <f aca="false">1+ISNUMBER(SEARCH("R",F70))+ISNUMBER(SEARCH("G",F70))+ISNUMBER(SEARCH("M",F70))+ISNUMBER(SEARCH("P",F70))+ISNUMBER(SEARCH("D",F70))+ISNUMBER(SEARCH("N",F70))</f>
        <v>5</v>
      </c>
      <c r="I70" s="2" t="n">
        <f aca="false">1+ISNUMBER(SEARCH("R",G70))+ISNUMBER(SEARCH("G",G70))+ISNUMBER(SEARCH("M",G70))+ISNUMBER(SEARCH("P",G70))+ISNUMBER(SEARCH("D",G70))+ISNUMBER(SEARCH("N",G70))</f>
        <v>6</v>
      </c>
      <c r="J70" s="2" t="str">
        <f aca="false">IFERROR(CHOOSE(H70-3,"Svarantara","Audava","Shadava","Sampoorna"),"Other")</f>
        <v>Audava</v>
      </c>
      <c r="K70" s="2" t="str">
        <f aca="false">IFERROR(CHOOSE(I70-3,"Svarantara","Audava","Shadava","Sampoorna"),"Other")</f>
        <v>Shadava</v>
      </c>
      <c r="L70" s="5" t="str">
        <f aca="false">J70&amp;" - "&amp;K70</f>
        <v>Audava - Shadava</v>
      </c>
      <c r="M70" s="2" t="s">
        <v>75</v>
      </c>
      <c r="N70" s="2" t="s">
        <v>161</v>
      </c>
      <c r="O70" s="4" t="s">
        <v>76</v>
      </c>
      <c r="P70" s="2" t="s">
        <v>27</v>
      </c>
      <c r="Q70" s="4" t="s">
        <v>77</v>
      </c>
      <c r="R70" s="2" t="n">
        <v>146</v>
      </c>
      <c r="S70" s="2"/>
    </row>
    <row r="71" customFormat="false" ht="23.85" hidden="false" customHeight="false" outlineLevel="0" collapsed="false">
      <c r="A71" s="2" t="n">
        <v>70</v>
      </c>
      <c r="B71" s="3" t="s">
        <v>258</v>
      </c>
      <c r="C71" s="2" t="s">
        <v>48</v>
      </c>
      <c r="D71" s="2" t="n">
        <v>29</v>
      </c>
      <c r="E71" s="4" t="s">
        <v>73</v>
      </c>
      <c r="F71" s="5" t="s">
        <v>113</v>
      </c>
      <c r="G71" s="5" t="s">
        <v>259</v>
      </c>
      <c r="H71" s="2" t="n">
        <f aca="false">1+ISNUMBER(SEARCH("R",F71))+ISNUMBER(SEARCH("G",F71))+ISNUMBER(SEARCH("M",F71))+ISNUMBER(SEARCH("P",F71))+ISNUMBER(SEARCH("D",F71))+ISNUMBER(SEARCH("N",F71))</f>
        <v>5</v>
      </c>
      <c r="I71" s="2" t="n">
        <f aca="false">1+ISNUMBER(SEARCH("R",G71))+ISNUMBER(SEARCH("G",G71))+ISNUMBER(SEARCH("M",G71))+ISNUMBER(SEARCH("P",G71))+ISNUMBER(SEARCH("D",G71))+ISNUMBER(SEARCH("N",G71))</f>
        <v>5</v>
      </c>
      <c r="J71" s="2" t="str">
        <f aca="false">IFERROR(CHOOSE(H71-3,"Svarantara","Audava","Shadava","Sampoorna"),"Other")</f>
        <v>Audava</v>
      </c>
      <c r="K71" s="2" t="str">
        <f aca="false">IFERROR(CHOOSE(I71-3,"Svarantara","Audava","Shadava","Sampoorna"),"Other")</f>
        <v>Audava</v>
      </c>
      <c r="L71" s="5" t="str">
        <f aca="false">J71&amp;" - "&amp;K71</f>
        <v>Audava - Audava</v>
      </c>
      <c r="M71" s="2" t="s">
        <v>24</v>
      </c>
      <c r="N71" s="2" t="s">
        <v>161</v>
      </c>
      <c r="O71" s="4" t="s">
        <v>76</v>
      </c>
      <c r="P71" s="2" t="s">
        <v>27</v>
      </c>
      <c r="Q71" s="4"/>
      <c r="R71" s="2" t="n">
        <v>147</v>
      </c>
      <c r="S71" s="2"/>
    </row>
    <row r="72" customFormat="false" ht="23.85" hidden="false" customHeight="false" outlineLevel="0" collapsed="false">
      <c r="A72" s="2" t="n">
        <v>71</v>
      </c>
      <c r="B72" s="3" t="s">
        <v>260</v>
      </c>
      <c r="C72" s="2" t="s">
        <v>48</v>
      </c>
      <c r="D72" s="2" t="n">
        <v>29</v>
      </c>
      <c r="E72" s="4" t="s">
        <v>73</v>
      </c>
      <c r="F72" s="5" t="s">
        <v>261</v>
      </c>
      <c r="G72" s="5" t="s">
        <v>262</v>
      </c>
      <c r="H72" s="2" t="n">
        <f aca="false">1+ISNUMBER(SEARCH("R",F72))+ISNUMBER(SEARCH("G",F72))+ISNUMBER(SEARCH("M",F72))+ISNUMBER(SEARCH("P",F72))+ISNUMBER(SEARCH("D",F72))+ISNUMBER(SEARCH("N",F72))</f>
        <v>7</v>
      </c>
      <c r="I72" s="2" t="n">
        <f aca="false">1+ISNUMBER(SEARCH("R",G72))+ISNUMBER(SEARCH("G",G72))+ISNUMBER(SEARCH("M",G72))+ISNUMBER(SEARCH("P",G72))+ISNUMBER(SEARCH("D",G72))+ISNUMBER(SEARCH("N",G72))</f>
        <v>6</v>
      </c>
      <c r="J72" s="2" t="str">
        <f aca="false">IFERROR(CHOOSE(H72-3,"Svarantara","Audava","Shadava","Sampoorna"),"Other")</f>
        <v>Sampoorna</v>
      </c>
      <c r="K72" s="2" t="str">
        <f aca="false">IFERROR(CHOOSE(I72-3,"Svarantara","Audava","Shadava","Sampoorna"),"Other")</f>
        <v>Shadava</v>
      </c>
      <c r="L72" s="5" t="str">
        <f aca="false">J72&amp;" - "&amp;K72</f>
        <v>Sampoorna - Shadava</v>
      </c>
      <c r="M72" s="2" t="s">
        <v>75</v>
      </c>
      <c r="N72" s="2" t="s">
        <v>161</v>
      </c>
      <c r="O72" s="4" t="s">
        <v>76</v>
      </c>
      <c r="P72" s="2" t="s">
        <v>27</v>
      </c>
      <c r="Q72" s="4" t="s">
        <v>263</v>
      </c>
      <c r="R72" s="2" t="n">
        <v>158</v>
      </c>
      <c r="S72" s="2"/>
    </row>
    <row r="73" customFormat="false" ht="15" hidden="false" customHeight="false" outlineLevel="0" collapsed="false">
      <c r="A73" s="2" t="n">
        <v>72</v>
      </c>
      <c r="B73" s="3" t="s">
        <v>264</v>
      </c>
      <c r="C73" s="2" t="s">
        <v>48</v>
      </c>
      <c r="D73" s="2" t="n">
        <v>28</v>
      </c>
      <c r="E73" s="4" t="s">
        <v>55</v>
      </c>
      <c r="F73" s="5" t="s">
        <v>265</v>
      </c>
      <c r="G73" s="5" t="s">
        <v>266</v>
      </c>
      <c r="H73" s="2" t="n">
        <f aca="false">1+ISNUMBER(SEARCH("R",F73))+ISNUMBER(SEARCH("G",F73))+ISNUMBER(SEARCH("M",F73))+ISNUMBER(SEARCH("P",F73))+ISNUMBER(SEARCH("D",F73))+ISNUMBER(SEARCH("N",F73))</f>
        <v>5</v>
      </c>
      <c r="I73" s="2" t="n">
        <f aca="false">1+ISNUMBER(SEARCH("R",G73))+ISNUMBER(SEARCH("G",G73))+ISNUMBER(SEARCH("M",G73))+ISNUMBER(SEARCH("P",G73))+ISNUMBER(SEARCH("D",G73))+ISNUMBER(SEARCH("N",G73))</f>
        <v>5</v>
      </c>
      <c r="J73" s="2" t="str">
        <f aca="false">IFERROR(CHOOSE(H73-3,"Svarantara","Audava","Shadava","Sampoorna"),"Other")</f>
        <v>Audava</v>
      </c>
      <c r="K73" s="2" t="str">
        <f aca="false">IFERROR(CHOOSE(I73-3,"Svarantara","Audava","Shadava","Sampoorna"),"Other")</f>
        <v>Audava</v>
      </c>
      <c r="L73" s="5" t="str">
        <f aca="false">J73&amp;" - "&amp;K73</f>
        <v>Audava - Audava</v>
      </c>
      <c r="M73" s="2" t="s">
        <v>75</v>
      </c>
      <c r="N73" s="2" t="s">
        <v>161</v>
      </c>
      <c r="O73" s="4" t="s">
        <v>76</v>
      </c>
      <c r="P73" s="2" t="s">
        <v>27</v>
      </c>
      <c r="Q73" s="4" t="s">
        <v>77</v>
      </c>
      <c r="R73" s="2" t="n">
        <v>130</v>
      </c>
      <c r="S73" s="2"/>
    </row>
    <row r="74" customFormat="false" ht="15" hidden="false" customHeight="false" outlineLevel="0" collapsed="false">
      <c r="A74" s="2" t="n">
        <v>73</v>
      </c>
      <c r="B74" s="3" t="s">
        <v>267</v>
      </c>
      <c r="C74" s="2" t="s">
        <v>48</v>
      </c>
      <c r="D74" s="2" t="n">
        <v>15</v>
      </c>
      <c r="E74" s="4" t="s">
        <v>84</v>
      </c>
      <c r="F74" s="5" t="s">
        <v>216</v>
      </c>
      <c r="G74" s="5" t="s">
        <v>268</v>
      </c>
      <c r="H74" s="2" t="n">
        <f aca="false">1+ISNUMBER(SEARCH("R",F74))+ISNUMBER(SEARCH("G",F74))+ISNUMBER(SEARCH("M",F74))+ISNUMBER(SEARCH("P",F74))+ISNUMBER(SEARCH("D",F74))+ISNUMBER(SEARCH("N",F74))</f>
        <v>5</v>
      </c>
      <c r="I74" s="2" t="n">
        <f aca="false">1+ISNUMBER(SEARCH("R",G74))+ISNUMBER(SEARCH("G",G74))+ISNUMBER(SEARCH("M",G74))+ISNUMBER(SEARCH("P",G74))+ISNUMBER(SEARCH("D",G74))+ISNUMBER(SEARCH("N",G74))</f>
        <v>7</v>
      </c>
      <c r="J74" s="2" t="str">
        <f aca="false">IFERROR(CHOOSE(H74-3,"Svarantara","Audava","Shadava","Sampoorna"),"Other")</f>
        <v>Audava</v>
      </c>
      <c r="K74" s="2" t="str">
        <f aca="false">IFERROR(CHOOSE(I74-3,"Svarantara","Audava","Shadava","Sampoorna"),"Other")</f>
        <v>Sampoorna</v>
      </c>
      <c r="L74" s="5" t="str">
        <f aca="false">J74&amp;" - "&amp;K74</f>
        <v>Audava - Sampoorna</v>
      </c>
      <c r="M74" s="2" t="s">
        <v>75</v>
      </c>
      <c r="N74" s="2" t="s">
        <v>161</v>
      </c>
      <c r="O74" s="4" t="s">
        <v>76</v>
      </c>
      <c r="P74" s="6" t="s">
        <v>95</v>
      </c>
      <c r="Q74" s="4" t="s">
        <v>269</v>
      </c>
      <c r="R74" s="2" t="n">
        <v>86</v>
      </c>
      <c r="S74" s="2"/>
    </row>
    <row r="75" customFormat="false" ht="15" hidden="false" customHeight="false" outlineLevel="0" collapsed="false">
      <c r="A75" s="2" t="n">
        <v>74</v>
      </c>
      <c r="B75" s="3" t="s">
        <v>270</v>
      </c>
      <c r="C75" s="2" t="s">
        <v>48</v>
      </c>
      <c r="D75" s="2" t="n">
        <v>36</v>
      </c>
      <c r="E75" s="4" t="s">
        <v>219</v>
      </c>
      <c r="F75" s="5" t="s">
        <v>232</v>
      </c>
      <c r="G75" s="5" t="s">
        <v>271</v>
      </c>
      <c r="H75" s="2" t="n">
        <f aca="false">1+ISNUMBER(SEARCH("R",F75))+ISNUMBER(SEARCH("G",F75))+ISNUMBER(SEARCH("M",F75))+ISNUMBER(SEARCH("P",F75))+ISNUMBER(SEARCH("D",F75))+ISNUMBER(SEARCH("N",F75))</f>
        <v>5</v>
      </c>
      <c r="I75" s="2" t="n">
        <f aca="false">1+ISNUMBER(SEARCH("R",G75))+ISNUMBER(SEARCH("G",G75))+ISNUMBER(SEARCH("M",G75))+ISNUMBER(SEARCH("P",G75))+ISNUMBER(SEARCH("D",G75))+ISNUMBER(SEARCH("N",G75))</f>
        <v>5</v>
      </c>
      <c r="J75" s="2" t="str">
        <f aca="false">IFERROR(CHOOSE(H75-3,"Svarantara","Audava","Shadava","Sampoorna"),"Other")</f>
        <v>Audava</v>
      </c>
      <c r="K75" s="2" t="str">
        <f aca="false">IFERROR(CHOOSE(I75-3,"Svarantara","Audava","Shadava","Sampoorna"),"Other")</f>
        <v>Audava</v>
      </c>
      <c r="L75" s="5" t="str">
        <f aca="false">J75&amp;" - "&amp;K75</f>
        <v>Audava - Audava</v>
      </c>
      <c r="M75" s="2" t="s">
        <v>24</v>
      </c>
      <c r="N75" s="2" t="s">
        <v>161</v>
      </c>
      <c r="O75" s="4" t="s">
        <v>76</v>
      </c>
      <c r="P75" s="2" t="s">
        <v>27</v>
      </c>
      <c r="Q75" s="4"/>
      <c r="R75" s="2" t="n">
        <v>161</v>
      </c>
      <c r="S75" s="2"/>
    </row>
    <row r="76" customFormat="false" ht="15" hidden="false" customHeight="false" outlineLevel="0" collapsed="false">
      <c r="A76" s="2" t="n">
        <v>75</v>
      </c>
      <c r="B76" s="3" t="s">
        <v>272</v>
      </c>
      <c r="C76" s="2" t="s">
        <v>48</v>
      </c>
      <c r="D76" s="2" t="n">
        <v>59</v>
      </c>
      <c r="E76" s="4" t="s">
        <v>273</v>
      </c>
      <c r="F76" s="5" t="s">
        <v>274</v>
      </c>
      <c r="G76" s="5" t="s">
        <v>170</v>
      </c>
      <c r="H76" s="2" t="n">
        <f aca="false">1+ISNUMBER(SEARCH("R",F76))+ISNUMBER(SEARCH("G",F76))+ISNUMBER(SEARCH("M",F76))+ISNUMBER(SEARCH("P",F76))+ISNUMBER(SEARCH("D",F76))+ISNUMBER(SEARCH("N",F76))</f>
        <v>5</v>
      </c>
      <c r="I76" s="2" t="n">
        <f aca="false">1+ISNUMBER(SEARCH("R",G76))+ISNUMBER(SEARCH("G",G76))+ISNUMBER(SEARCH("M",G76))+ISNUMBER(SEARCH("P",G76))+ISNUMBER(SEARCH("D",G76))+ISNUMBER(SEARCH("N",G76))</f>
        <v>7</v>
      </c>
      <c r="J76" s="2" t="str">
        <f aca="false">IFERROR(CHOOSE(H76-3,"Svarantara","Audava","Shadava","Sampoorna"),"Other")</f>
        <v>Audava</v>
      </c>
      <c r="K76" s="2" t="str">
        <f aca="false">IFERROR(CHOOSE(I76-3,"Svarantara","Audava","Shadava","Sampoorna"),"Other")</f>
        <v>Sampoorna</v>
      </c>
      <c r="L76" s="5" t="str">
        <f aca="false">J76&amp;" - "&amp;K76</f>
        <v>Audava - Sampoorna</v>
      </c>
      <c r="M76" s="2" t="s">
        <v>24</v>
      </c>
      <c r="N76" s="2" t="s">
        <v>161</v>
      </c>
      <c r="O76" s="4" t="s">
        <v>76</v>
      </c>
      <c r="P76" s="2" t="s">
        <v>27</v>
      </c>
      <c r="Q76" s="4" t="s">
        <v>275</v>
      </c>
      <c r="R76" s="2" t="n">
        <v>165</v>
      </c>
      <c r="S76" s="2"/>
    </row>
    <row r="77" customFormat="false" ht="15" hidden="false" customHeight="false" outlineLevel="0" collapsed="false">
      <c r="A77" s="2" t="n">
        <v>76</v>
      </c>
      <c r="B77" s="3" t="s">
        <v>276</v>
      </c>
      <c r="C77" s="2" t="s">
        <v>48</v>
      </c>
      <c r="D77" s="2" t="n">
        <v>15</v>
      </c>
      <c r="E77" s="4" t="s">
        <v>84</v>
      </c>
      <c r="F77" s="5" t="s">
        <v>277</v>
      </c>
      <c r="G77" s="5" t="s">
        <v>278</v>
      </c>
      <c r="H77" s="2" t="n">
        <f aca="false">1+ISNUMBER(SEARCH("R",F77))+ISNUMBER(SEARCH("G",F77))+ISNUMBER(SEARCH("M",F77))+ISNUMBER(SEARCH("P",F77))+ISNUMBER(SEARCH("D",F77))+ISNUMBER(SEARCH("N",F77))</f>
        <v>7</v>
      </c>
      <c r="I77" s="2" t="n">
        <f aca="false">1+ISNUMBER(SEARCH("R",G77))+ISNUMBER(SEARCH("G",G77))+ISNUMBER(SEARCH("M",G77))+ISNUMBER(SEARCH("P",G77))+ISNUMBER(SEARCH("D",G77))+ISNUMBER(SEARCH("N",G77))</f>
        <v>7</v>
      </c>
      <c r="J77" s="2" t="str">
        <f aca="false">IFERROR(CHOOSE(H77-3,"Svarantara","Audava","Shadava","Sampoorna"),"Other")</f>
        <v>Sampoorna</v>
      </c>
      <c r="K77" s="2" t="str">
        <f aca="false">IFERROR(CHOOSE(I77-3,"Svarantara","Audava","Shadava","Sampoorna"),"Other")</f>
        <v>Sampoorna</v>
      </c>
      <c r="L77" s="5" t="str">
        <f aca="false">J77&amp;" - "&amp;K77</f>
        <v>Sampoorna - Sampoorna</v>
      </c>
      <c r="M77" s="2" t="s">
        <v>24</v>
      </c>
      <c r="N77" s="2" t="s">
        <v>161</v>
      </c>
      <c r="O77" s="4" t="s">
        <v>76</v>
      </c>
      <c r="P77" s="6" t="s">
        <v>95</v>
      </c>
      <c r="Q77" s="4" t="s">
        <v>279</v>
      </c>
      <c r="R77" s="2" t="n">
        <v>91</v>
      </c>
      <c r="S77" s="2"/>
    </row>
    <row r="78" customFormat="false" ht="23.85" hidden="false" customHeight="false" outlineLevel="0" collapsed="false">
      <c r="A78" s="2" t="n">
        <v>77</v>
      </c>
      <c r="B78" s="3" t="s">
        <v>280</v>
      </c>
      <c r="C78" s="2" t="s">
        <v>48</v>
      </c>
      <c r="D78" s="2" t="n">
        <v>28</v>
      </c>
      <c r="E78" s="4" t="s">
        <v>55</v>
      </c>
      <c r="F78" s="5" t="s">
        <v>44</v>
      </c>
      <c r="G78" s="5" t="s">
        <v>281</v>
      </c>
      <c r="H78" s="2" t="n">
        <f aca="false">1+ISNUMBER(SEARCH("R",F78))+ISNUMBER(SEARCH("G",F78))+ISNUMBER(SEARCH("M",F78))+ISNUMBER(SEARCH("P",F78))+ISNUMBER(SEARCH("D",F78))+ISNUMBER(SEARCH("N",F78))</f>
        <v>7</v>
      </c>
      <c r="I78" s="2" t="n">
        <f aca="false">1+ISNUMBER(SEARCH("R",G78))+ISNUMBER(SEARCH("G",G78))+ISNUMBER(SEARCH("M",G78))+ISNUMBER(SEARCH("P",G78))+ISNUMBER(SEARCH("D",G78))+ISNUMBER(SEARCH("N",G78))</f>
        <v>7</v>
      </c>
      <c r="J78" s="2" t="str">
        <f aca="false">IFERROR(CHOOSE(H78-3,"Svarantara","Audava","Shadava","Sampoorna"),"Other")</f>
        <v>Sampoorna</v>
      </c>
      <c r="K78" s="2" t="str">
        <f aca="false">IFERROR(CHOOSE(I78-3,"Svarantara","Audava","Shadava","Sampoorna"),"Other")</f>
        <v>Sampoorna</v>
      </c>
      <c r="L78" s="5" t="str">
        <f aca="false">J78&amp;" - "&amp;K78</f>
        <v>Sampoorna - Sampoorna</v>
      </c>
      <c r="M78" s="2" t="s">
        <v>75</v>
      </c>
      <c r="N78" s="2" t="s">
        <v>161</v>
      </c>
      <c r="O78" s="4" t="s">
        <v>76</v>
      </c>
      <c r="P78" s="6" t="s">
        <v>95</v>
      </c>
      <c r="Q78" s="4" t="s">
        <v>282</v>
      </c>
      <c r="R78" s="2" t="n">
        <v>149</v>
      </c>
      <c r="S78" s="2"/>
    </row>
    <row r="79" customFormat="false" ht="15" hidden="false" customHeight="false" outlineLevel="0" collapsed="false">
      <c r="A79" s="2" t="n">
        <v>78</v>
      </c>
      <c r="B79" s="3" t="s">
        <v>283</v>
      </c>
      <c r="C79" s="2" t="s">
        <v>20</v>
      </c>
      <c r="D79" s="2" t="n">
        <v>13</v>
      </c>
      <c r="E79" s="4" t="s">
        <v>21</v>
      </c>
      <c r="F79" s="5" t="s">
        <v>284</v>
      </c>
      <c r="G79" s="5" t="s">
        <v>285</v>
      </c>
      <c r="H79" s="2" t="n">
        <f aca="false">1+ISNUMBER(SEARCH("R",F79))+ISNUMBER(SEARCH("G",F79))+ISNUMBER(SEARCH("M",F79))+ISNUMBER(SEARCH("P",F79))+ISNUMBER(SEARCH("D",F79))+ISNUMBER(SEARCH("N",F79))</f>
        <v>7</v>
      </c>
      <c r="I79" s="2" t="n">
        <f aca="false">1+ISNUMBER(SEARCH("R",G79))+ISNUMBER(SEARCH("G",G79))+ISNUMBER(SEARCH("M",G79))+ISNUMBER(SEARCH("P",G79))+ISNUMBER(SEARCH("D",G79))+ISNUMBER(SEARCH("N",G79))</f>
        <v>7</v>
      </c>
      <c r="J79" s="2" t="str">
        <f aca="false">IFERROR(CHOOSE(H79-3,"Svarantara","Audava","Shadava","Sampoorna"),"Other")</f>
        <v>Sampoorna</v>
      </c>
      <c r="K79" s="2" t="str">
        <f aca="false">IFERROR(CHOOSE(I79-3,"Svarantara","Audava","Shadava","Sampoorna"),"Other")</f>
        <v>Sampoorna</v>
      </c>
      <c r="L79" s="5" t="str">
        <f aca="false">J79&amp;" - "&amp;K79</f>
        <v>Sampoorna - Sampoorna</v>
      </c>
      <c r="M79" s="2" t="s">
        <v>24</v>
      </c>
      <c r="N79" s="2" t="s">
        <v>286</v>
      </c>
      <c r="O79" s="4" t="s">
        <v>26</v>
      </c>
      <c r="P79" s="2" t="s">
        <v>27</v>
      </c>
      <c r="Q79" s="4"/>
      <c r="R79" s="2" t="n">
        <v>13</v>
      </c>
      <c r="S79" s="2"/>
    </row>
    <row r="80" customFormat="false" ht="15" hidden="false" customHeight="false" outlineLevel="0" collapsed="false">
      <c r="A80" s="2" t="n">
        <v>79</v>
      </c>
      <c r="B80" s="3" t="s">
        <v>287</v>
      </c>
      <c r="C80" s="2" t="s">
        <v>20</v>
      </c>
      <c r="D80" s="2" t="n">
        <v>14</v>
      </c>
      <c r="E80" s="4" t="s">
        <v>21</v>
      </c>
      <c r="F80" s="5" t="s">
        <v>288</v>
      </c>
      <c r="G80" s="5" t="s">
        <v>86</v>
      </c>
      <c r="H80" s="2" t="n">
        <f aca="false">1+ISNUMBER(SEARCH("R",F80))+ISNUMBER(SEARCH("G",F80))+ISNUMBER(SEARCH("M",F80))+ISNUMBER(SEARCH("P",F80))+ISNUMBER(SEARCH("D",F80))+ISNUMBER(SEARCH("N",F80))</f>
        <v>7</v>
      </c>
      <c r="I80" s="2" t="n">
        <f aca="false">1+ISNUMBER(SEARCH("R",G80))+ISNUMBER(SEARCH("G",G80))+ISNUMBER(SEARCH("M",G80))+ISNUMBER(SEARCH("P",G80))+ISNUMBER(SEARCH("D",G80))+ISNUMBER(SEARCH("N",G80))</f>
        <v>7</v>
      </c>
      <c r="J80" s="2" t="str">
        <f aca="false">IFERROR(CHOOSE(H80-3,"Svarantara","Audava","Shadava","Sampoorna"),"Other")</f>
        <v>Sampoorna</v>
      </c>
      <c r="K80" s="2" t="str">
        <f aca="false">IFERROR(CHOOSE(I80-3,"Svarantara","Audava","Shadava","Sampoorna"),"Other")</f>
        <v>Sampoorna</v>
      </c>
      <c r="L80" s="5" t="str">
        <f aca="false">J80&amp;" - "&amp;K80</f>
        <v>Sampoorna - Sampoorna</v>
      </c>
      <c r="M80" s="2" t="s">
        <v>24</v>
      </c>
      <c r="N80" s="2" t="s">
        <v>286</v>
      </c>
      <c r="O80" s="4" t="s">
        <v>26</v>
      </c>
      <c r="P80" s="2" t="s">
        <v>27</v>
      </c>
      <c r="Q80" s="4"/>
      <c r="R80" s="2" t="n">
        <v>14</v>
      </c>
      <c r="S80" s="2"/>
    </row>
    <row r="81" customFormat="false" ht="15" hidden="false" customHeight="false" outlineLevel="0" collapsed="false">
      <c r="A81" s="2" t="n">
        <v>80</v>
      </c>
      <c r="B81" s="3" t="s">
        <v>289</v>
      </c>
      <c r="C81" s="2" t="s">
        <v>20</v>
      </c>
      <c r="D81" s="2" t="n">
        <v>19</v>
      </c>
      <c r="E81" s="4" t="s">
        <v>21</v>
      </c>
      <c r="F81" s="5" t="s">
        <v>290</v>
      </c>
      <c r="G81" s="5" t="s">
        <v>291</v>
      </c>
      <c r="H81" s="2" t="n">
        <f aca="false">1+ISNUMBER(SEARCH("R",F81))+ISNUMBER(SEARCH("G",F81))+ISNUMBER(SEARCH("M",F81))+ISNUMBER(SEARCH("P",F81))+ISNUMBER(SEARCH("D",F81))+ISNUMBER(SEARCH("N",F81))</f>
        <v>7</v>
      </c>
      <c r="I81" s="2" t="n">
        <f aca="false">1+ISNUMBER(SEARCH("R",G81))+ISNUMBER(SEARCH("G",G81))+ISNUMBER(SEARCH("M",G81))+ISNUMBER(SEARCH("P",G81))+ISNUMBER(SEARCH("D",G81))+ISNUMBER(SEARCH("N",G81))</f>
        <v>7</v>
      </c>
      <c r="J81" s="2" t="str">
        <f aca="false">IFERROR(CHOOSE(H81-3,"Svarantara","Audava","Shadava","Sampoorna"),"Other")</f>
        <v>Sampoorna</v>
      </c>
      <c r="K81" s="2" t="str">
        <f aca="false">IFERROR(CHOOSE(I81-3,"Svarantara","Audava","Shadava","Sampoorna"),"Other")</f>
        <v>Sampoorna</v>
      </c>
      <c r="L81" s="5" t="str">
        <f aca="false">J81&amp;" - "&amp;K81</f>
        <v>Sampoorna - Sampoorna</v>
      </c>
      <c r="M81" s="2" t="s">
        <v>24</v>
      </c>
      <c r="N81" s="2" t="s">
        <v>286</v>
      </c>
      <c r="O81" s="4" t="s">
        <v>26</v>
      </c>
      <c r="P81" s="2" t="s">
        <v>27</v>
      </c>
      <c r="Q81" s="4"/>
      <c r="R81" s="2" t="n">
        <v>19</v>
      </c>
      <c r="S81" s="2"/>
    </row>
    <row r="82" customFormat="false" ht="15" hidden="false" customHeight="false" outlineLevel="0" collapsed="false">
      <c r="A82" s="2" t="n">
        <v>81</v>
      </c>
      <c r="B82" s="3" t="s">
        <v>292</v>
      </c>
      <c r="C82" s="2" t="s">
        <v>20</v>
      </c>
      <c r="D82" s="2" t="n">
        <v>45</v>
      </c>
      <c r="E82" s="4" t="s">
        <v>21</v>
      </c>
      <c r="F82" s="5" t="s">
        <v>293</v>
      </c>
      <c r="G82" s="5" t="s">
        <v>294</v>
      </c>
      <c r="H82" s="2" t="n">
        <f aca="false">1+ISNUMBER(SEARCH("R",F82))+ISNUMBER(SEARCH("G",F82))+ISNUMBER(SEARCH("M",F82))+ISNUMBER(SEARCH("P",F82))+ISNUMBER(SEARCH("D",F82))+ISNUMBER(SEARCH("N",F82))</f>
        <v>7</v>
      </c>
      <c r="I82" s="2" t="n">
        <f aca="false">1+ISNUMBER(SEARCH("R",G82))+ISNUMBER(SEARCH("G",G82))+ISNUMBER(SEARCH("M",G82))+ISNUMBER(SEARCH("P",G82))+ISNUMBER(SEARCH("D",G82))+ISNUMBER(SEARCH("N",G82))</f>
        <v>7</v>
      </c>
      <c r="J82" s="2" t="str">
        <f aca="false">IFERROR(CHOOSE(H82-3,"Svarantara","Audava","Shadava","Sampoorna"),"Other")</f>
        <v>Sampoorna</v>
      </c>
      <c r="K82" s="2" t="str">
        <f aca="false">IFERROR(CHOOSE(I82-3,"Svarantara","Audava","Shadava","Sampoorna"),"Other")</f>
        <v>Sampoorna</v>
      </c>
      <c r="L82" s="5" t="str">
        <f aca="false">J82&amp;" - "&amp;K82</f>
        <v>Sampoorna - Sampoorna</v>
      </c>
      <c r="M82" s="2" t="s">
        <v>24</v>
      </c>
      <c r="N82" s="2" t="s">
        <v>286</v>
      </c>
      <c r="O82" s="4" t="s">
        <v>26</v>
      </c>
      <c r="P82" s="2" t="s">
        <v>27</v>
      </c>
      <c r="Q82" s="4"/>
      <c r="R82" s="2" t="n">
        <v>45</v>
      </c>
      <c r="S82" s="2"/>
    </row>
    <row r="83" customFormat="false" ht="15" hidden="false" customHeight="false" outlineLevel="0" collapsed="false">
      <c r="A83" s="2" t="n">
        <v>82</v>
      </c>
      <c r="B83" s="3" t="s">
        <v>295</v>
      </c>
      <c r="C83" s="2" t="s">
        <v>20</v>
      </c>
      <c r="D83" s="2" t="n">
        <v>52</v>
      </c>
      <c r="E83" s="4" t="s">
        <v>21</v>
      </c>
      <c r="F83" s="5" t="s">
        <v>296</v>
      </c>
      <c r="G83" s="5" t="s">
        <v>297</v>
      </c>
      <c r="H83" s="2" t="n">
        <f aca="false">1+ISNUMBER(SEARCH("R",F83))+ISNUMBER(SEARCH("G",F83))+ISNUMBER(SEARCH("M",F83))+ISNUMBER(SEARCH("P",F83))+ISNUMBER(SEARCH("D",F83))+ISNUMBER(SEARCH("N",F83))</f>
        <v>7</v>
      </c>
      <c r="I83" s="2" t="n">
        <f aca="false">1+ISNUMBER(SEARCH("R",G83))+ISNUMBER(SEARCH("G",G83))+ISNUMBER(SEARCH("M",G83))+ISNUMBER(SEARCH("P",G83))+ISNUMBER(SEARCH("D",G83))+ISNUMBER(SEARCH("N",G83))</f>
        <v>7</v>
      </c>
      <c r="J83" s="2" t="str">
        <f aca="false">IFERROR(CHOOSE(H83-3,"Svarantara","Audava","Shadava","Sampoorna"),"Other")</f>
        <v>Sampoorna</v>
      </c>
      <c r="K83" s="2" t="str">
        <f aca="false">IFERROR(CHOOSE(I83-3,"Svarantara","Audava","Shadava","Sampoorna"),"Other")</f>
        <v>Sampoorna</v>
      </c>
      <c r="L83" s="5" t="str">
        <f aca="false">J83&amp;" - "&amp;K83</f>
        <v>Sampoorna - Sampoorna</v>
      </c>
      <c r="M83" s="2" t="s">
        <v>24</v>
      </c>
      <c r="N83" s="2" t="s">
        <v>286</v>
      </c>
      <c r="O83" s="4" t="s">
        <v>26</v>
      </c>
      <c r="P83" s="2" t="s">
        <v>27</v>
      </c>
      <c r="Q83" s="4"/>
      <c r="R83" s="2" t="n">
        <v>52</v>
      </c>
      <c r="S83" s="2"/>
    </row>
    <row r="84" customFormat="false" ht="15" hidden="false" customHeight="false" outlineLevel="0" collapsed="false">
      <c r="A84" s="2" t="n">
        <v>83</v>
      </c>
      <c r="B84" s="3" t="s">
        <v>298</v>
      </c>
      <c r="C84" s="2" t="s">
        <v>20</v>
      </c>
      <c r="D84" s="2" t="n">
        <v>63</v>
      </c>
      <c r="E84" s="4" t="s">
        <v>21</v>
      </c>
      <c r="F84" s="5" t="s">
        <v>299</v>
      </c>
      <c r="G84" s="5" t="s">
        <v>300</v>
      </c>
      <c r="H84" s="2" t="n">
        <f aca="false">1+ISNUMBER(SEARCH("R",F84))+ISNUMBER(SEARCH("G",F84))+ISNUMBER(SEARCH("M",F84))+ISNUMBER(SEARCH("P",F84))+ISNUMBER(SEARCH("D",F84))+ISNUMBER(SEARCH("N",F84))</f>
        <v>7</v>
      </c>
      <c r="I84" s="2" t="n">
        <f aca="false">1+ISNUMBER(SEARCH("R",G84))+ISNUMBER(SEARCH("G",G84))+ISNUMBER(SEARCH("M",G84))+ISNUMBER(SEARCH("P",G84))+ISNUMBER(SEARCH("D",G84))+ISNUMBER(SEARCH("N",G84))</f>
        <v>7</v>
      </c>
      <c r="J84" s="2" t="str">
        <f aca="false">IFERROR(CHOOSE(H84-3,"Svarantara","Audava","Shadava","Sampoorna"),"Other")</f>
        <v>Sampoorna</v>
      </c>
      <c r="K84" s="2" t="str">
        <f aca="false">IFERROR(CHOOSE(I84-3,"Svarantara","Audava","Shadava","Sampoorna"),"Other")</f>
        <v>Sampoorna</v>
      </c>
      <c r="L84" s="5" t="str">
        <f aca="false">J84&amp;" - "&amp;K84</f>
        <v>Sampoorna - Sampoorna</v>
      </c>
      <c r="M84" s="2" t="s">
        <v>24</v>
      </c>
      <c r="N84" s="2" t="s">
        <v>286</v>
      </c>
      <c r="O84" s="4" t="s">
        <v>26</v>
      </c>
      <c r="P84" s="2" t="s">
        <v>27</v>
      </c>
      <c r="Q84" s="4"/>
      <c r="R84" s="2" t="n">
        <v>63</v>
      </c>
      <c r="S84" s="2"/>
    </row>
    <row r="85" customFormat="false" ht="15" hidden="false" customHeight="false" outlineLevel="0" collapsed="false">
      <c r="A85" s="2" t="n">
        <v>84</v>
      </c>
      <c r="B85" s="3" t="s">
        <v>301</v>
      </c>
      <c r="C85" s="2" t="s">
        <v>20</v>
      </c>
      <c r="D85" s="2" t="n">
        <v>66</v>
      </c>
      <c r="E85" s="4" t="s">
        <v>21</v>
      </c>
      <c r="F85" s="5" t="s">
        <v>302</v>
      </c>
      <c r="G85" s="5" t="s">
        <v>303</v>
      </c>
      <c r="H85" s="2" t="n">
        <f aca="false">1+ISNUMBER(SEARCH("R",F85))+ISNUMBER(SEARCH("G",F85))+ISNUMBER(SEARCH("M",F85))+ISNUMBER(SEARCH("P",F85))+ISNUMBER(SEARCH("D",F85))+ISNUMBER(SEARCH("N",F85))</f>
        <v>7</v>
      </c>
      <c r="I85" s="2" t="n">
        <f aca="false">1+ISNUMBER(SEARCH("R",G85))+ISNUMBER(SEARCH("G",G85))+ISNUMBER(SEARCH("M",G85))+ISNUMBER(SEARCH("P",G85))+ISNUMBER(SEARCH("D",G85))+ISNUMBER(SEARCH("N",G85))</f>
        <v>7</v>
      </c>
      <c r="J85" s="2" t="str">
        <f aca="false">IFERROR(CHOOSE(H85-3,"Svarantara","Audava","Shadava","Sampoorna"),"Other")</f>
        <v>Sampoorna</v>
      </c>
      <c r="K85" s="2" t="str">
        <f aca="false">IFERROR(CHOOSE(I85-3,"Svarantara","Audava","Shadava","Sampoorna"),"Other")</f>
        <v>Sampoorna</v>
      </c>
      <c r="L85" s="5" t="str">
        <f aca="false">J85&amp;" - "&amp;K85</f>
        <v>Sampoorna - Sampoorna</v>
      </c>
      <c r="M85" s="2" t="s">
        <v>24</v>
      </c>
      <c r="N85" s="2" t="s">
        <v>286</v>
      </c>
      <c r="O85" s="4" t="s">
        <v>26</v>
      </c>
      <c r="P85" s="2" t="s">
        <v>27</v>
      </c>
      <c r="Q85" s="4"/>
      <c r="R85" s="2" t="n">
        <v>66</v>
      </c>
      <c r="S85" s="2"/>
    </row>
    <row r="86" customFormat="false" ht="15" hidden="false" customHeight="false" outlineLevel="0" collapsed="false">
      <c r="A86" s="2" t="n">
        <v>85</v>
      </c>
      <c r="B86" s="3" t="s">
        <v>304</v>
      </c>
      <c r="C86" s="2" t="s">
        <v>48</v>
      </c>
      <c r="D86" s="2" t="n">
        <v>15</v>
      </c>
      <c r="E86" s="4" t="s">
        <v>84</v>
      </c>
      <c r="F86" s="5" t="s">
        <v>305</v>
      </c>
      <c r="G86" s="5" t="s">
        <v>306</v>
      </c>
      <c r="H86" s="2" t="n">
        <f aca="false">1+ISNUMBER(SEARCH("R",F86))+ISNUMBER(SEARCH("G",F86))+ISNUMBER(SEARCH("M",F86))+ISNUMBER(SEARCH("P",F86))+ISNUMBER(SEARCH("D",F86))+ISNUMBER(SEARCH("N",F86))</f>
        <v>6</v>
      </c>
      <c r="I86" s="2" t="n">
        <f aca="false">1+ISNUMBER(SEARCH("R",G86))+ISNUMBER(SEARCH("G",G86))+ISNUMBER(SEARCH("M",G86))+ISNUMBER(SEARCH("P",G86))+ISNUMBER(SEARCH("D",G86))+ISNUMBER(SEARCH("N",G86))</f>
        <v>6</v>
      </c>
      <c r="J86" s="2" t="str">
        <f aca="false">IFERROR(CHOOSE(H86-3,"Svarantara","Audava","Shadava","Sampoorna"),"Other")</f>
        <v>Shadava</v>
      </c>
      <c r="K86" s="2" t="str">
        <f aca="false">IFERROR(CHOOSE(I86-3,"Svarantara","Audava","Shadava","Sampoorna"),"Other")</f>
        <v>Shadava</v>
      </c>
      <c r="L86" s="5" t="str">
        <f aca="false">J86&amp;" - "&amp;K86</f>
        <v>Shadava - Shadava</v>
      </c>
      <c r="M86" s="2" t="s">
        <v>75</v>
      </c>
      <c r="N86" s="2" t="s">
        <v>286</v>
      </c>
      <c r="O86" s="4" t="s">
        <v>76</v>
      </c>
      <c r="P86" s="6" t="s">
        <v>95</v>
      </c>
      <c r="Q86" s="4" t="s">
        <v>307</v>
      </c>
      <c r="R86" s="2" t="n">
        <v>78</v>
      </c>
      <c r="S86" s="2"/>
    </row>
    <row r="87" customFormat="false" ht="15" hidden="false" customHeight="false" outlineLevel="0" collapsed="false">
      <c r="A87" s="2" t="n">
        <v>86</v>
      </c>
      <c r="B87" s="3" t="s">
        <v>308</v>
      </c>
      <c r="C87" s="2" t="s">
        <v>48</v>
      </c>
      <c r="D87" s="2" t="n">
        <v>15</v>
      </c>
      <c r="E87" s="4" t="s">
        <v>84</v>
      </c>
      <c r="F87" s="5" t="s">
        <v>305</v>
      </c>
      <c r="G87" s="5" t="s">
        <v>309</v>
      </c>
      <c r="H87" s="2" t="n">
        <f aca="false">1+ISNUMBER(SEARCH("R",F87))+ISNUMBER(SEARCH("G",F87))+ISNUMBER(SEARCH("M",F87))+ISNUMBER(SEARCH("P",F87))+ISNUMBER(SEARCH("D",F87))+ISNUMBER(SEARCH("N",F87))</f>
        <v>6</v>
      </c>
      <c r="I87" s="2" t="n">
        <f aca="false">1+ISNUMBER(SEARCH("R",G87))+ISNUMBER(SEARCH("G",G87))+ISNUMBER(SEARCH("M",G87))+ISNUMBER(SEARCH("P",G87))+ISNUMBER(SEARCH("D",G87))+ISNUMBER(SEARCH("N",G87))</f>
        <v>7</v>
      </c>
      <c r="J87" s="2" t="str">
        <f aca="false">IFERROR(CHOOSE(H87-3,"Svarantara","Audava","Shadava","Sampoorna"),"Other")</f>
        <v>Shadava</v>
      </c>
      <c r="K87" s="2" t="str">
        <f aca="false">IFERROR(CHOOSE(I87-3,"Svarantara","Audava","Shadava","Sampoorna"),"Other")</f>
        <v>Sampoorna</v>
      </c>
      <c r="L87" s="5" t="str">
        <f aca="false">J87&amp;" - "&amp;K87</f>
        <v>Shadava - Sampoorna</v>
      </c>
      <c r="M87" s="2" t="s">
        <v>75</v>
      </c>
      <c r="N87" s="2" t="s">
        <v>286</v>
      </c>
      <c r="O87" s="4" t="s">
        <v>76</v>
      </c>
      <c r="P87" s="6" t="s">
        <v>95</v>
      </c>
      <c r="Q87" s="4" t="s">
        <v>126</v>
      </c>
      <c r="R87" s="2" t="n">
        <v>96</v>
      </c>
      <c r="S87" s="2"/>
    </row>
    <row r="88" customFormat="false" ht="15" hidden="false" customHeight="false" outlineLevel="0" collapsed="false">
      <c r="A88" s="2" t="n">
        <v>87</v>
      </c>
      <c r="B88" s="3" t="s">
        <v>310</v>
      </c>
      <c r="C88" s="2" t="s">
        <v>48</v>
      </c>
      <c r="D88" s="2" t="n">
        <v>15</v>
      </c>
      <c r="E88" s="4" t="s">
        <v>84</v>
      </c>
      <c r="F88" s="5" t="s">
        <v>216</v>
      </c>
      <c r="G88" s="5" t="s">
        <v>309</v>
      </c>
      <c r="H88" s="2" t="n">
        <f aca="false">1+ISNUMBER(SEARCH("R",F88))+ISNUMBER(SEARCH("G",F88))+ISNUMBER(SEARCH("M",F88))+ISNUMBER(SEARCH("P",F88))+ISNUMBER(SEARCH("D",F88))+ISNUMBER(SEARCH("N",F88))</f>
        <v>5</v>
      </c>
      <c r="I88" s="2" t="n">
        <f aca="false">1+ISNUMBER(SEARCH("R",G88))+ISNUMBER(SEARCH("G",G88))+ISNUMBER(SEARCH("M",G88))+ISNUMBER(SEARCH("P",G88))+ISNUMBER(SEARCH("D",G88))+ISNUMBER(SEARCH("N",G88))</f>
        <v>7</v>
      </c>
      <c r="J88" s="2" t="str">
        <f aca="false">IFERROR(CHOOSE(H88-3,"Svarantara","Audava","Shadava","Sampoorna"),"Other")</f>
        <v>Audava</v>
      </c>
      <c r="K88" s="2" t="str">
        <f aca="false">IFERROR(CHOOSE(I88-3,"Svarantara","Audava","Shadava","Sampoorna"),"Other")</f>
        <v>Sampoorna</v>
      </c>
      <c r="L88" s="5" t="str">
        <f aca="false">J88&amp;" - "&amp;K88</f>
        <v>Audava - Sampoorna</v>
      </c>
      <c r="M88" s="2" t="s">
        <v>75</v>
      </c>
      <c r="N88" s="2" t="s">
        <v>286</v>
      </c>
      <c r="O88" s="4" t="s">
        <v>76</v>
      </c>
      <c r="P88" s="6" t="s">
        <v>95</v>
      </c>
      <c r="Q88" s="4" t="s">
        <v>126</v>
      </c>
      <c r="R88" s="2" t="n">
        <v>92</v>
      </c>
      <c r="S88" s="2"/>
    </row>
    <row r="89" customFormat="false" ht="15" hidden="false" customHeight="false" outlineLevel="0" collapsed="false">
      <c r="A89" s="2" t="n">
        <v>88</v>
      </c>
      <c r="B89" s="3" t="s">
        <v>311</v>
      </c>
      <c r="C89" s="2" t="s">
        <v>48</v>
      </c>
      <c r="D89" s="2" t="n">
        <v>22</v>
      </c>
      <c r="E89" s="4" t="s">
        <v>89</v>
      </c>
      <c r="F89" s="5" t="s">
        <v>113</v>
      </c>
      <c r="G89" s="5" t="s">
        <v>38</v>
      </c>
      <c r="H89" s="2" t="n">
        <f aca="false">1+ISNUMBER(SEARCH("R",F89))+ISNUMBER(SEARCH("G",F89))+ISNUMBER(SEARCH("M",F89))+ISNUMBER(SEARCH("P",F89))+ISNUMBER(SEARCH("D",F89))+ISNUMBER(SEARCH("N",F89))</f>
        <v>5</v>
      </c>
      <c r="I89" s="2" t="n">
        <f aca="false">1+ISNUMBER(SEARCH("R",G89))+ISNUMBER(SEARCH("G",G89))+ISNUMBER(SEARCH("M",G89))+ISNUMBER(SEARCH("P",G89))+ISNUMBER(SEARCH("D",G89))+ISNUMBER(SEARCH("N",G89))</f>
        <v>7</v>
      </c>
      <c r="J89" s="2" t="str">
        <f aca="false">IFERROR(CHOOSE(H89-3,"Svarantara","Audava","Shadava","Sampoorna"),"Other")</f>
        <v>Audava</v>
      </c>
      <c r="K89" s="2" t="str">
        <f aca="false">IFERROR(CHOOSE(I89-3,"Svarantara","Audava","Shadava","Sampoorna"),"Other")</f>
        <v>Sampoorna</v>
      </c>
      <c r="L89" s="5" t="str">
        <f aca="false">J89&amp;" - "&amp;K89</f>
        <v>Audava - Sampoorna</v>
      </c>
      <c r="M89" s="2" t="s">
        <v>24</v>
      </c>
      <c r="N89" s="2" t="s">
        <v>286</v>
      </c>
      <c r="O89" s="4" t="s">
        <v>76</v>
      </c>
      <c r="P89" s="6" t="s">
        <v>95</v>
      </c>
      <c r="Q89" s="4" t="s">
        <v>312</v>
      </c>
      <c r="R89" s="2" t="n">
        <v>77</v>
      </c>
      <c r="S89" s="2"/>
    </row>
    <row r="90" customFormat="false" ht="15" hidden="false" customHeight="false" outlineLevel="0" collapsed="false">
      <c r="A90" s="2" t="n">
        <v>89</v>
      </c>
      <c r="B90" s="3" t="s">
        <v>313</v>
      </c>
      <c r="C90" s="2" t="s">
        <v>48</v>
      </c>
      <c r="D90" s="2" t="n">
        <v>22</v>
      </c>
      <c r="E90" s="4" t="s">
        <v>89</v>
      </c>
      <c r="F90" s="5" t="s">
        <v>110</v>
      </c>
      <c r="G90" s="5" t="s">
        <v>123</v>
      </c>
      <c r="H90" s="2" t="n">
        <f aca="false">1+ISNUMBER(SEARCH("R",F90))+ISNUMBER(SEARCH("G",F90))+ISNUMBER(SEARCH("M",F90))+ISNUMBER(SEARCH("P",F90))+ISNUMBER(SEARCH("D",F90))+ISNUMBER(SEARCH("N",F90))</f>
        <v>5</v>
      </c>
      <c r="I90" s="2" t="n">
        <f aca="false">1+ISNUMBER(SEARCH("R",G90))+ISNUMBER(SEARCH("G",G90))+ISNUMBER(SEARCH("M",G90))+ISNUMBER(SEARCH("P",G90))+ISNUMBER(SEARCH("D",G90))+ISNUMBER(SEARCH("N",G90))</f>
        <v>6</v>
      </c>
      <c r="J90" s="2" t="str">
        <f aca="false">IFERROR(CHOOSE(H90-3,"Svarantara","Audava","Shadava","Sampoorna"),"Other")</f>
        <v>Audava</v>
      </c>
      <c r="K90" s="2" t="str">
        <f aca="false">IFERROR(CHOOSE(I90-3,"Svarantara","Audava","Shadava","Sampoorna"),"Other")</f>
        <v>Shadava</v>
      </c>
      <c r="L90" s="5" t="str">
        <f aca="false">J90&amp;" - "&amp;K90</f>
        <v>Audava - Shadava</v>
      </c>
      <c r="M90" s="2" t="s">
        <v>24</v>
      </c>
      <c r="N90" s="2" t="s">
        <v>286</v>
      </c>
      <c r="O90" s="4" t="s">
        <v>76</v>
      </c>
      <c r="P90" s="6" t="s">
        <v>95</v>
      </c>
      <c r="Q90" s="4" t="s">
        <v>314</v>
      </c>
      <c r="R90" s="2" t="n">
        <v>104</v>
      </c>
      <c r="S90" s="2"/>
    </row>
    <row r="91" customFormat="false" ht="15" hidden="false" customHeight="false" outlineLevel="0" collapsed="false">
      <c r="A91" s="2" t="n">
        <v>90</v>
      </c>
      <c r="B91" s="3" t="s">
        <v>315</v>
      </c>
      <c r="C91" s="2" t="s">
        <v>48</v>
      </c>
      <c r="D91" s="2" t="n">
        <v>22</v>
      </c>
      <c r="E91" s="4" t="s">
        <v>89</v>
      </c>
      <c r="F91" s="5" t="s">
        <v>316</v>
      </c>
      <c r="G91" s="5" t="s">
        <v>317</v>
      </c>
      <c r="H91" s="2" t="n">
        <f aca="false">1+ISNUMBER(SEARCH("R",F91))+ISNUMBER(SEARCH("G",F91))+ISNUMBER(SEARCH("M",F91))+ISNUMBER(SEARCH("P",F91))+ISNUMBER(SEARCH("D",F91))+ISNUMBER(SEARCH("N",F91))</f>
        <v>6</v>
      </c>
      <c r="I91" s="2" t="n">
        <f aca="false">1+ISNUMBER(SEARCH("R",G91))+ISNUMBER(SEARCH("G",G91))+ISNUMBER(SEARCH("M",G91))+ISNUMBER(SEARCH("P",G91))+ISNUMBER(SEARCH("D",G91))+ISNUMBER(SEARCH("N",G91))</f>
        <v>6</v>
      </c>
      <c r="J91" s="2" t="str">
        <f aca="false">IFERROR(CHOOSE(H91-3,"Svarantara","Audava","Shadava","Sampoorna"),"Other")</f>
        <v>Shadava</v>
      </c>
      <c r="K91" s="2" t="str">
        <f aca="false">IFERROR(CHOOSE(I91-3,"Svarantara","Audava","Shadava","Sampoorna"),"Other")</f>
        <v>Shadava</v>
      </c>
      <c r="L91" s="5" t="str">
        <f aca="false">J91&amp;" - "&amp;K91</f>
        <v>Shadava - Shadava</v>
      </c>
      <c r="M91" s="2" t="s">
        <v>24</v>
      </c>
      <c r="N91" s="2" t="s">
        <v>286</v>
      </c>
      <c r="O91" s="4" t="s">
        <v>76</v>
      </c>
      <c r="P91" s="6" t="s">
        <v>95</v>
      </c>
      <c r="Q91" s="4" t="s">
        <v>318</v>
      </c>
      <c r="R91" s="2" t="n">
        <v>93</v>
      </c>
      <c r="S91" s="2"/>
    </row>
    <row r="92" customFormat="false" ht="15" hidden="false" customHeight="false" outlineLevel="0" collapsed="false">
      <c r="A92" s="2" t="n">
        <v>91</v>
      </c>
      <c r="B92" s="3" t="s">
        <v>319</v>
      </c>
      <c r="C92" s="2" t="s">
        <v>48</v>
      </c>
      <c r="D92" s="2" t="n">
        <v>22</v>
      </c>
      <c r="E92" s="4" t="s">
        <v>89</v>
      </c>
      <c r="F92" s="5" t="s">
        <v>320</v>
      </c>
      <c r="G92" s="5" t="s">
        <v>321</v>
      </c>
      <c r="H92" s="2" t="n">
        <f aca="false">1+ISNUMBER(SEARCH("R",F92))+ISNUMBER(SEARCH("G",F92))+ISNUMBER(SEARCH("M",F92))+ISNUMBER(SEARCH("P",F92))+ISNUMBER(SEARCH("D",F92))+ISNUMBER(SEARCH("N",F92))</f>
        <v>6</v>
      </c>
      <c r="I92" s="2" t="n">
        <f aca="false">1+ISNUMBER(SEARCH("R",G92))+ISNUMBER(SEARCH("G",G92))+ISNUMBER(SEARCH("M",G92))+ISNUMBER(SEARCH("P",G92))+ISNUMBER(SEARCH("D",G92))+ISNUMBER(SEARCH("N",G92))</f>
        <v>6</v>
      </c>
      <c r="J92" s="2" t="str">
        <f aca="false">IFERROR(CHOOSE(H92-3,"Svarantara","Audava","Shadava","Sampoorna"),"Other")</f>
        <v>Shadava</v>
      </c>
      <c r="K92" s="2" t="str">
        <f aca="false">IFERROR(CHOOSE(I92-3,"Svarantara","Audava","Shadava","Sampoorna"),"Other")</f>
        <v>Shadava</v>
      </c>
      <c r="L92" s="5" t="str">
        <f aca="false">J92&amp;" - "&amp;K92</f>
        <v>Shadava - Shadava</v>
      </c>
      <c r="M92" s="2" t="s">
        <v>75</v>
      </c>
      <c r="N92" s="2" t="s">
        <v>286</v>
      </c>
      <c r="O92" s="4" t="s">
        <v>76</v>
      </c>
      <c r="P92" s="6" t="s">
        <v>95</v>
      </c>
      <c r="Q92" s="4" t="s">
        <v>322</v>
      </c>
      <c r="R92" s="2" t="n">
        <v>103</v>
      </c>
      <c r="S92" s="2"/>
    </row>
    <row r="93" customFormat="false" ht="15" hidden="false" customHeight="false" outlineLevel="0" collapsed="false">
      <c r="A93" s="2" t="n">
        <v>92</v>
      </c>
      <c r="B93" s="3" t="s">
        <v>323</v>
      </c>
      <c r="C93" s="2" t="s">
        <v>48</v>
      </c>
      <c r="D93" s="2" t="n">
        <v>14</v>
      </c>
      <c r="E93" s="4" t="s">
        <v>324</v>
      </c>
      <c r="F93" s="5" t="s">
        <v>325</v>
      </c>
      <c r="G93" s="5" t="s">
        <v>326</v>
      </c>
      <c r="H93" s="2" t="n">
        <f aca="false">1+ISNUMBER(SEARCH("R",F93))+ISNUMBER(SEARCH("G",F93))+ISNUMBER(SEARCH("M",F93))+ISNUMBER(SEARCH("P",F93))+ISNUMBER(SEARCH("D",F93))+ISNUMBER(SEARCH("N",F93))</f>
        <v>6</v>
      </c>
      <c r="I93" s="2" t="n">
        <f aca="false">1+ISNUMBER(SEARCH("R",G93))+ISNUMBER(SEARCH("G",G93))+ISNUMBER(SEARCH("M",G93))+ISNUMBER(SEARCH("P",G93))+ISNUMBER(SEARCH("D",G93))+ISNUMBER(SEARCH("N",G93))</f>
        <v>7</v>
      </c>
      <c r="J93" s="2" t="str">
        <f aca="false">IFERROR(CHOOSE(H93-3,"Svarantara","Audava","Shadava","Sampoorna"),"Other")</f>
        <v>Shadava</v>
      </c>
      <c r="K93" s="2" t="str">
        <f aca="false">IFERROR(CHOOSE(I93-3,"Svarantara","Audava","Shadava","Sampoorna"),"Other")</f>
        <v>Sampoorna</v>
      </c>
      <c r="L93" s="5" t="str">
        <f aca="false">J93&amp;" - "&amp;K93</f>
        <v>Shadava - Sampoorna</v>
      </c>
      <c r="M93" s="2" t="s">
        <v>75</v>
      </c>
      <c r="N93" s="2" t="s">
        <v>286</v>
      </c>
      <c r="O93" s="4" t="s">
        <v>76</v>
      </c>
      <c r="P93" s="6" t="s">
        <v>95</v>
      </c>
      <c r="Q93" s="4" t="s">
        <v>327</v>
      </c>
      <c r="R93" s="2" t="n">
        <v>106</v>
      </c>
      <c r="S93" s="2"/>
    </row>
    <row r="94" customFormat="false" ht="15" hidden="false" customHeight="false" outlineLevel="0" collapsed="false">
      <c r="A94" s="2" t="n">
        <v>93</v>
      </c>
      <c r="B94" s="3" t="s">
        <v>328</v>
      </c>
      <c r="C94" s="2" t="s">
        <v>48</v>
      </c>
      <c r="D94" s="2" t="n">
        <v>16</v>
      </c>
      <c r="E94" s="4" t="s">
        <v>235</v>
      </c>
      <c r="F94" s="5" t="s">
        <v>329</v>
      </c>
      <c r="G94" s="5" t="s">
        <v>330</v>
      </c>
      <c r="H94" s="2" t="n">
        <f aca="false">1+ISNUMBER(SEARCH("R",F94))+ISNUMBER(SEARCH("G",F94))+ISNUMBER(SEARCH("M",F94))+ISNUMBER(SEARCH("P",F94))+ISNUMBER(SEARCH("D",F94))+ISNUMBER(SEARCH("N",F94))</f>
        <v>5</v>
      </c>
      <c r="I94" s="2" t="n">
        <f aca="false">1+ISNUMBER(SEARCH("R",G94))+ISNUMBER(SEARCH("G",G94))+ISNUMBER(SEARCH("M",G94))+ISNUMBER(SEARCH("P",G94))+ISNUMBER(SEARCH("D",G94))+ISNUMBER(SEARCH("N",G94))</f>
        <v>5</v>
      </c>
      <c r="J94" s="2" t="str">
        <f aca="false">IFERROR(CHOOSE(H94-3,"Svarantara","Audava","Shadava","Sampoorna"),"Other")</f>
        <v>Audava</v>
      </c>
      <c r="K94" s="2" t="str">
        <f aca="false">IFERROR(CHOOSE(I94-3,"Svarantara","Audava","Shadava","Sampoorna"),"Other")</f>
        <v>Audava</v>
      </c>
      <c r="L94" s="5" t="str">
        <f aca="false">J94&amp;" - "&amp;K94</f>
        <v>Audava - Audava</v>
      </c>
      <c r="M94" s="2" t="s">
        <v>24</v>
      </c>
      <c r="N94" s="2" t="s">
        <v>286</v>
      </c>
      <c r="O94" s="4" t="s">
        <v>76</v>
      </c>
      <c r="P94" s="6" t="s">
        <v>95</v>
      </c>
      <c r="Q94" s="4" t="s">
        <v>331</v>
      </c>
      <c r="R94" s="2" t="n">
        <v>150</v>
      </c>
      <c r="S94" s="2"/>
    </row>
    <row r="95" customFormat="false" ht="23.85" hidden="false" customHeight="false" outlineLevel="0" collapsed="false">
      <c r="A95" s="2" t="n">
        <v>94</v>
      </c>
      <c r="B95" s="3" t="s">
        <v>332</v>
      </c>
      <c r="C95" s="2" t="s">
        <v>48</v>
      </c>
      <c r="D95" s="2" t="n">
        <v>29</v>
      </c>
      <c r="E95" s="4" t="s">
        <v>73</v>
      </c>
      <c r="F95" s="5" t="s">
        <v>113</v>
      </c>
      <c r="G95" s="5" t="s">
        <v>34</v>
      </c>
      <c r="H95" s="2" t="n">
        <f aca="false">1+ISNUMBER(SEARCH("R",F95))+ISNUMBER(SEARCH("G",F95))+ISNUMBER(SEARCH("M",F95))+ISNUMBER(SEARCH("P",F95))+ISNUMBER(SEARCH("D",F95))+ISNUMBER(SEARCH("N",F95))</f>
        <v>5</v>
      </c>
      <c r="I95" s="2" t="n">
        <f aca="false">1+ISNUMBER(SEARCH("R",G95))+ISNUMBER(SEARCH("G",G95))+ISNUMBER(SEARCH("M",G95))+ISNUMBER(SEARCH("P",G95))+ISNUMBER(SEARCH("D",G95))+ISNUMBER(SEARCH("N",G95))</f>
        <v>7</v>
      </c>
      <c r="J95" s="2" t="str">
        <f aca="false">IFERROR(CHOOSE(H95-3,"Svarantara","Audava","Shadava","Sampoorna"),"Other")</f>
        <v>Audava</v>
      </c>
      <c r="K95" s="2" t="str">
        <f aca="false">IFERROR(CHOOSE(I95-3,"Svarantara","Audava","Shadava","Sampoorna"),"Other")</f>
        <v>Sampoorna</v>
      </c>
      <c r="L95" s="5" t="str">
        <f aca="false">J95&amp;" - "&amp;K95</f>
        <v>Audava - Sampoorna</v>
      </c>
      <c r="M95" s="2" t="s">
        <v>24</v>
      </c>
      <c r="N95" s="2" t="s">
        <v>286</v>
      </c>
      <c r="O95" s="4" t="s">
        <v>76</v>
      </c>
      <c r="P95" s="6" t="s">
        <v>95</v>
      </c>
      <c r="Q95" s="4" t="s">
        <v>333</v>
      </c>
      <c r="R95" s="2" t="n">
        <v>143</v>
      </c>
      <c r="S95" s="2"/>
    </row>
    <row r="96" customFormat="false" ht="15" hidden="false" customHeight="false" outlineLevel="0" collapsed="false">
      <c r="A96" s="2" t="n">
        <v>95</v>
      </c>
      <c r="B96" s="3" t="s">
        <v>334</v>
      </c>
      <c r="C96" s="2" t="s">
        <v>48</v>
      </c>
      <c r="D96" s="2" t="n">
        <v>15</v>
      </c>
      <c r="E96" s="4" t="s">
        <v>84</v>
      </c>
      <c r="F96" s="5" t="s">
        <v>305</v>
      </c>
      <c r="G96" s="5" t="s">
        <v>23</v>
      </c>
      <c r="H96" s="2" t="n">
        <f aca="false">1+ISNUMBER(SEARCH("R",F96))+ISNUMBER(SEARCH("G",F96))+ISNUMBER(SEARCH("M",F96))+ISNUMBER(SEARCH("P",F96))+ISNUMBER(SEARCH("D",F96))+ISNUMBER(SEARCH("N",F96))</f>
        <v>6</v>
      </c>
      <c r="I96" s="2" t="n">
        <f aca="false">1+ISNUMBER(SEARCH("R",G96))+ISNUMBER(SEARCH("G",G96))+ISNUMBER(SEARCH("M",G96))+ISNUMBER(SEARCH("P",G96))+ISNUMBER(SEARCH("D",G96))+ISNUMBER(SEARCH("N",G96))</f>
        <v>7</v>
      </c>
      <c r="J96" s="2" t="str">
        <f aca="false">IFERROR(CHOOSE(H96-3,"Svarantara","Audava","Shadava","Sampoorna"),"Other")</f>
        <v>Shadava</v>
      </c>
      <c r="K96" s="2" t="str">
        <f aca="false">IFERROR(CHOOSE(I96-3,"Svarantara","Audava","Shadava","Sampoorna"),"Other")</f>
        <v>Sampoorna</v>
      </c>
      <c r="L96" s="5" t="str">
        <f aca="false">J96&amp;" - "&amp;K96</f>
        <v>Shadava - Sampoorna</v>
      </c>
      <c r="M96" s="2" t="s">
        <v>24</v>
      </c>
      <c r="N96" s="2" t="s">
        <v>286</v>
      </c>
      <c r="O96" s="4" t="s">
        <v>76</v>
      </c>
      <c r="P96" s="6" t="s">
        <v>95</v>
      </c>
      <c r="Q96" s="4" t="s">
        <v>335</v>
      </c>
      <c r="R96" s="2" t="n">
        <v>97</v>
      </c>
      <c r="S96" s="2"/>
    </row>
    <row r="97" customFormat="false" ht="15" hidden="false" customHeight="false" outlineLevel="0" collapsed="false">
      <c r="A97" s="2" t="n">
        <v>96</v>
      </c>
      <c r="B97" s="3" t="s">
        <v>336</v>
      </c>
      <c r="C97" s="2" t="s">
        <v>48</v>
      </c>
      <c r="D97" s="2" t="n">
        <v>15</v>
      </c>
      <c r="E97" s="4" t="s">
        <v>84</v>
      </c>
      <c r="F97" s="5" t="s">
        <v>22</v>
      </c>
      <c r="G97" s="5" t="s">
        <v>337</v>
      </c>
      <c r="H97" s="2" t="n">
        <f aca="false">1+ISNUMBER(SEARCH("R",F97))+ISNUMBER(SEARCH("G",F97))+ISNUMBER(SEARCH("M",F97))+ISNUMBER(SEARCH("P",F97))+ISNUMBER(SEARCH("D",F97))+ISNUMBER(SEARCH("N",F97))</f>
        <v>7</v>
      </c>
      <c r="I97" s="2" t="n">
        <f aca="false">1+ISNUMBER(SEARCH("R",G97))+ISNUMBER(SEARCH("G",G97))+ISNUMBER(SEARCH("M",G97))+ISNUMBER(SEARCH("P",G97))+ISNUMBER(SEARCH("D",G97))+ISNUMBER(SEARCH("N",G97))</f>
        <v>7</v>
      </c>
      <c r="J97" s="2" t="str">
        <f aca="false">IFERROR(CHOOSE(H97-3,"Svarantara","Audava","Shadava","Sampoorna"),"Other")</f>
        <v>Sampoorna</v>
      </c>
      <c r="K97" s="2" t="str">
        <f aca="false">IFERROR(CHOOSE(I97-3,"Svarantara","Audava","Shadava","Sampoorna"),"Other")</f>
        <v>Sampoorna</v>
      </c>
      <c r="L97" s="5" t="str">
        <f aca="false">J97&amp;" - "&amp;K97</f>
        <v>Sampoorna - Sampoorna</v>
      </c>
      <c r="M97" s="2" t="s">
        <v>75</v>
      </c>
      <c r="N97" s="2" t="s">
        <v>286</v>
      </c>
      <c r="O97" s="4" t="s">
        <v>76</v>
      </c>
      <c r="P97" s="6" t="s">
        <v>95</v>
      </c>
      <c r="Q97" s="4" t="s">
        <v>338</v>
      </c>
      <c r="R97" s="2" t="n">
        <v>81</v>
      </c>
      <c r="S97" s="2"/>
    </row>
    <row r="98" customFormat="false" ht="15" hidden="false" customHeight="false" outlineLevel="0" collapsed="false">
      <c r="A98" s="2" t="n">
        <v>97</v>
      </c>
      <c r="B98" s="3" t="s">
        <v>339</v>
      </c>
      <c r="C98" s="2" t="s">
        <v>48</v>
      </c>
      <c r="D98" s="2" t="n">
        <v>28</v>
      </c>
      <c r="E98" s="4" t="s">
        <v>55</v>
      </c>
      <c r="F98" s="5" t="s">
        <v>340</v>
      </c>
      <c r="G98" s="5" t="s">
        <v>341</v>
      </c>
      <c r="H98" s="2" t="n">
        <f aca="false">1+ISNUMBER(SEARCH("R",F98))+ISNUMBER(SEARCH("G",F98))+ISNUMBER(SEARCH("M",F98))+ISNUMBER(SEARCH("P",F98))+ISNUMBER(SEARCH("D",F98))+ISNUMBER(SEARCH("N",F98))</f>
        <v>6</v>
      </c>
      <c r="I98" s="2" t="n">
        <f aca="false">1+ISNUMBER(SEARCH("R",G98))+ISNUMBER(SEARCH("G",G98))+ISNUMBER(SEARCH("M",G98))+ISNUMBER(SEARCH("P",G98))+ISNUMBER(SEARCH("D",G98))+ISNUMBER(SEARCH("N",G98))</f>
        <v>7</v>
      </c>
      <c r="J98" s="2" t="str">
        <f aca="false">IFERROR(CHOOSE(H98-3,"Svarantara","Audava","Shadava","Sampoorna"),"Other")</f>
        <v>Shadava</v>
      </c>
      <c r="K98" s="2" t="str">
        <f aca="false">IFERROR(CHOOSE(I98-3,"Svarantara","Audava","Shadava","Sampoorna"),"Other")</f>
        <v>Sampoorna</v>
      </c>
      <c r="L98" s="5" t="str">
        <f aca="false">J98&amp;" - "&amp;K98</f>
        <v>Shadava - Sampoorna</v>
      </c>
      <c r="M98" s="2" t="s">
        <v>75</v>
      </c>
      <c r="N98" s="2" t="s">
        <v>286</v>
      </c>
      <c r="O98" s="4" t="s">
        <v>76</v>
      </c>
      <c r="P98" s="6" t="s">
        <v>95</v>
      </c>
      <c r="Q98" s="4" t="s">
        <v>342</v>
      </c>
      <c r="R98" s="2" t="n">
        <v>82</v>
      </c>
      <c r="S98" s="2"/>
    </row>
    <row r="99" customFormat="false" ht="15" hidden="false" customHeight="false" outlineLevel="0" collapsed="false">
      <c r="A99" s="2" t="n">
        <v>98</v>
      </c>
      <c r="B99" s="3" t="s">
        <v>343</v>
      </c>
      <c r="C99" s="2" t="s">
        <v>48</v>
      </c>
      <c r="D99" s="2" t="n">
        <v>22</v>
      </c>
      <c r="E99" s="4" t="s">
        <v>89</v>
      </c>
      <c r="F99" s="5" t="s">
        <v>344</v>
      </c>
      <c r="G99" s="5" t="s">
        <v>345</v>
      </c>
      <c r="H99" s="2" t="n">
        <f aca="false">1+ISNUMBER(SEARCH("R",F99))+ISNUMBER(SEARCH("G",F99))+ISNUMBER(SEARCH("M",F99))+ISNUMBER(SEARCH("P",F99))+ISNUMBER(SEARCH("D",F99))+ISNUMBER(SEARCH("N",F99))</f>
        <v>6</v>
      </c>
      <c r="I99" s="2" t="n">
        <f aca="false">1+ISNUMBER(SEARCH("R",G99))+ISNUMBER(SEARCH("G",G99))+ISNUMBER(SEARCH("M",G99))+ISNUMBER(SEARCH("P",G99))+ISNUMBER(SEARCH("D",G99))+ISNUMBER(SEARCH("N",G99))</f>
        <v>7</v>
      </c>
      <c r="J99" s="2" t="str">
        <f aca="false">IFERROR(CHOOSE(H99-3,"Svarantara","Audava","Shadava","Sampoorna"),"Other")</f>
        <v>Shadava</v>
      </c>
      <c r="K99" s="2" t="str">
        <f aca="false">IFERROR(CHOOSE(I99-3,"Svarantara","Audava","Shadava","Sampoorna"),"Other")</f>
        <v>Sampoorna</v>
      </c>
      <c r="L99" s="5" t="str">
        <f aca="false">J99&amp;" - "&amp;K99</f>
        <v>Shadava - Sampoorna</v>
      </c>
      <c r="M99" s="2" t="s">
        <v>75</v>
      </c>
      <c r="N99" s="2" t="s">
        <v>286</v>
      </c>
      <c r="O99" s="4" t="s">
        <v>76</v>
      </c>
      <c r="P99" s="6" t="s">
        <v>95</v>
      </c>
      <c r="Q99" s="4" t="s">
        <v>346</v>
      </c>
      <c r="R99" s="2" t="n">
        <v>118</v>
      </c>
      <c r="S99" s="2"/>
    </row>
    <row r="100" customFormat="false" ht="15" hidden="false" customHeight="false" outlineLevel="0" collapsed="false">
      <c r="A100" s="2" t="n">
        <v>99</v>
      </c>
      <c r="B100" s="3" t="s">
        <v>347</v>
      </c>
      <c r="C100" s="2" t="s">
        <v>48</v>
      </c>
      <c r="D100" s="2" t="n">
        <v>22</v>
      </c>
      <c r="E100" s="4" t="s">
        <v>89</v>
      </c>
      <c r="F100" s="5" t="s">
        <v>90</v>
      </c>
      <c r="G100" s="5" t="s">
        <v>133</v>
      </c>
      <c r="H100" s="2" t="n">
        <f aca="false">1+ISNUMBER(SEARCH("R",F100))+ISNUMBER(SEARCH("G",F100))+ISNUMBER(SEARCH("M",F100))+ISNUMBER(SEARCH("P",F100))+ISNUMBER(SEARCH("D",F100))+ISNUMBER(SEARCH("N",F100))</f>
        <v>5</v>
      </c>
      <c r="I100" s="2" t="n">
        <f aca="false">1+ISNUMBER(SEARCH("R",G100))+ISNUMBER(SEARCH("G",G100))+ISNUMBER(SEARCH("M",G100))+ISNUMBER(SEARCH("P",G100))+ISNUMBER(SEARCH("D",G100))+ISNUMBER(SEARCH("N",G100))</f>
        <v>6</v>
      </c>
      <c r="J100" s="2" t="str">
        <f aca="false">IFERROR(CHOOSE(H100-3,"Svarantara","Audava","Shadava","Sampoorna"),"Other")</f>
        <v>Audava</v>
      </c>
      <c r="K100" s="2" t="str">
        <f aca="false">IFERROR(CHOOSE(I100-3,"Svarantara","Audava","Shadava","Sampoorna"),"Other")</f>
        <v>Shadava</v>
      </c>
      <c r="L100" s="5" t="str">
        <f aca="false">J100&amp;" - "&amp;K100</f>
        <v>Audava - Shadava</v>
      </c>
      <c r="M100" s="2" t="s">
        <v>24</v>
      </c>
      <c r="N100" s="2" t="s">
        <v>286</v>
      </c>
      <c r="O100" s="4" t="s">
        <v>76</v>
      </c>
      <c r="P100" s="6" t="s">
        <v>95</v>
      </c>
      <c r="Q100" s="4"/>
      <c r="R100" s="2" t="n">
        <v>119</v>
      </c>
      <c r="S100" s="2"/>
    </row>
    <row r="101" customFormat="false" ht="15" hidden="false" customHeight="false" outlineLevel="0" collapsed="false">
      <c r="A101" s="2" t="n">
        <v>100</v>
      </c>
      <c r="B101" s="3" t="s">
        <v>348</v>
      </c>
      <c r="C101" s="2" t="s">
        <v>48</v>
      </c>
      <c r="D101" s="2" t="n">
        <v>28</v>
      </c>
      <c r="E101" s="4" t="s">
        <v>55</v>
      </c>
      <c r="F101" s="5" t="s">
        <v>349</v>
      </c>
      <c r="G101" s="5" t="s">
        <v>350</v>
      </c>
      <c r="H101" s="2" t="n">
        <f aca="false">1+ISNUMBER(SEARCH("R",F101))+ISNUMBER(SEARCH("G",F101))+ISNUMBER(SEARCH("M",F101))+ISNUMBER(SEARCH("P",F101))+ISNUMBER(SEARCH("D",F101))+ISNUMBER(SEARCH("N",F101))</f>
        <v>6</v>
      </c>
      <c r="I101" s="2" t="n">
        <f aca="false">1+ISNUMBER(SEARCH("R",G101))+ISNUMBER(SEARCH("G",G101))+ISNUMBER(SEARCH("M",G101))+ISNUMBER(SEARCH("P",G101))+ISNUMBER(SEARCH("D",G101))+ISNUMBER(SEARCH("N",G101))</f>
        <v>7</v>
      </c>
      <c r="J101" s="2" t="str">
        <f aca="false">IFERROR(CHOOSE(H101-3,"Svarantara","Audava","Shadava","Sampoorna"),"Other")</f>
        <v>Shadava</v>
      </c>
      <c r="K101" s="2" t="str">
        <f aca="false">IFERROR(CHOOSE(I101-3,"Svarantara","Audava","Shadava","Sampoorna"),"Other")</f>
        <v>Sampoorna</v>
      </c>
      <c r="L101" s="5" t="str">
        <f aca="false">J101&amp;" - "&amp;K101</f>
        <v>Shadava - Sampoorna</v>
      </c>
      <c r="M101" s="2" t="s">
        <v>75</v>
      </c>
      <c r="N101" s="2" t="s">
        <v>286</v>
      </c>
      <c r="O101" s="4" t="s">
        <v>76</v>
      </c>
      <c r="P101" s="6" t="s">
        <v>95</v>
      </c>
      <c r="Q101" s="4" t="s">
        <v>351</v>
      </c>
      <c r="R101" s="2" t="n">
        <v>94</v>
      </c>
      <c r="S101" s="2"/>
    </row>
  </sheetData>
  <autoFilter ref="A1:S101"/>
  <conditionalFormatting sqref="L2:L101">
    <cfRule type="expression" priority="2" aboveAverage="0" equalAverage="0" bottom="0" percent="0" rank="0" text="" dxfId="6">
      <formula>$L2="Audava - Audava"</formula>
    </cfRule>
    <cfRule type="expression" priority="3" aboveAverage="0" equalAverage="0" bottom="0" percent="0" rank="0" text="" dxfId="7">
      <formula>$L2="Sampoorna - Sampoorna"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7" t="s">
        <v>352</v>
      </c>
    </row>
    <row r="3" customFormat="false" ht="15" hidden="false" customHeight="false" outlineLevel="0" collapsed="false">
      <c r="A3" s="8" t="s">
        <v>353</v>
      </c>
    </row>
    <row r="4" customFormat="false" ht="15" hidden="false" customHeight="false" outlineLevel="0" collapsed="false">
      <c r="A4" s="9" t="s">
        <v>354</v>
      </c>
      <c r="B4" s="9" t="s">
        <v>355</v>
      </c>
      <c r="C4" s="9" t="s">
        <v>356</v>
      </c>
      <c r="D4" s="9" t="s">
        <v>357</v>
      </c>
    </row>
    <row r="5" customFormat="false" ht="15" hidden="false" customHeight="false" outlineLevel="0" collapsed="false">
      <c r="A5" s="10" t="s">
        <v>355</v>
      </c>
      <c r="B5" s="11" t="n">
        <f aca="false">COUNTIFS('Top 100 Ragas'!$J$2:$J$101,$A5,'Top 100 Ragas'!$K$2:$K$101,B$4)</f>
        <v>38</v>
      </c>
      <c r="C5" s="11" t="n">
        <f aca="false">COUNTIFS('Top 100 Ragas'!$J$2:$J$101,$A5,'Top 100 Ragas'!$K$2:$K$101,C$4)</f>
        <v>1</v>
      </c>
      <c r="D5" s="11" t="n">
        <f aca="false">COUNTIFS('Top 100 Ragas'!$J$2:$J$101,$A5,'Top 100 Ragas'!$K$2:$K$101,D$4)</f>
        <v>0</v>
      </c>
    </row>
    <row r="6" customFormat="false" ht="15" hidden="false" customHeight="false" outlineLevel="0" collapsed="false">
      <c r="A6" s="10" t="s">
        <v>356</v>
      </c>
      <c r="B6" s="11" t="n">
        <f aca="false">COUNTIFS('Top 100 Ragas'!$J$2:$J$101,$A6,'Top 100 Ragas'!$K$2:$K$101,B$4)</f>
        <v>15</v>
      </c>
      <c r="C6" s="11" t="n">
        <f aca="false">COUNTIFS('Top 100 Ragas'!$J$2:$J$101,$A6,'Top 100 Ragas'!$K$2:$K$101,C$4)</f>
        <v>7</v>
      </c>
      <c r="D6" s="11" t="n">
        <f aca="false">COUNTIFS('Top 100 Ragas'!$J$2:$J$101,$A6,'Top 100 Ragas'!$K$2:$K$101,D$4)</f>
        <v>0</v>
      </c>
    </row>
    <row r="7" customFormat="false" ht="15" hidden="false" customHeight="false" outlineLevel="0" collapsed="false">
      <c r="A7" s="10" t="s">
        <v>357</v>
      </c>
      <c r="B7" s="11" t="n">
        <f aca="false">COUNTIFS('Top 100 Ragas'!$J$2:$J$101,$A7,'Top 100 Ragas'!$K$2:$K$101,B$4)</f>
        <v>17</v>
      </c>
      <c r="C7" s="11" t="n">
        <f aca="false">COUNTIFS('Top 100 Ragas'!$J$2:$J$101,$A7,'Top 100 Ragas'!$K$2:$K$101,C$4)</f>
        <v>8</v>
      </c>
      <c r="D7" s="11" t="n">
        <f aca="false">COUNTIFS('Top 100 Ragas'!$J$2:$J$101,$A7,'Top 100 Ragas'!$K$2:$K$101,D$4)</f>
        <v>14</v>
      </c>
    </row>
    <row r="8" customFormat="false" ht="15" hidden="false" customHeight="false" outlineLevel="0" collapsed="false">
      <c r="A8" s="10" t="s">
        <v>358</v>
      </c>
      <c r="B8" s="12" t="n">
        <f aca="false">SUM(B5:D7)</f>
        <v>100</v>
      </c>
    </row>
    <row r="9" customFormat="false" ht="15" hidden="false" customHeight="false" outlineLevel="0" collapsed="false">
      <c r="A9" s="13" t="s">
        <v>359</v>
      </c>
      <c r="B9" s="11" t="n">
        <f aca="false">COUNTA('Top 100 Ragas'!$B$2:$B$101)-B8</f>
        <v>0</v>
      </c>
    </row>
    <row r="11" customFormat="false" ht="15" hidden="false" customHeight="false" outlineLevel="0" collapsed="false">
      <c r="A11" s="8" t="s">
        <v>360</v>
      </c>
    </row>
    <row r="12" customFormat="false" ht="15" hidden="false" customHeight="false" outlineLevel="0" collapsed="false">
      <c r="A12" s="13" t="s">
        <v>361</v>
      </c>
      <c r="B12" s="11" t="n">
        <f aca="false">COUNTIF('Top 100 Ragas'!$C$2:$C$101,"Melakarta")</f>
        <v>28</v>
      </c>
    </row>
    <row r="13" customFormat="false" ht="15" hidden="false" customHeight="false" outlineLevel="0" collapsed="false">
      <c r="A13" s="13" t="s">
        <v>48</v>
      </c>
      <c r="B13" s="11" t="n">
        <f aca="false">COUNTIF('Top 100 Ragas'!$C$2:$C$101,"Janya")</f>
        <v>72</v>
      </c>
    </row>
    <row r="14" customFormat="false" ht="15" hidden="false" customHeight="false" outlineLevel="0" collapsed="false">
      <c r="A14" s="13" t="s">
        <v>362</v>
      </c>
      <c r="B14" s="11" t="n">
        <f aca="false">COUNTIFS('Top 100 Ragas'!$J$2:$J$101,"Audava",'Top 100 Ragas'!$K$2:$K$101,"Audava")</f>
        <v>14</v>
      </c>
    </row>
    <row r="15" customFormat="false" ht="15" hidden="false" customHeight="false" outlineLevel="0" collapsed="false">
      <c r="A15" s="13" t="s">
        <v>363</v>
      </c>
      <c r="B15" s="11" t="n">
        <f aca="false">COUNTIF('Top 100 Ragas'!$M$2:$M$101,"Yes")</f>
        <v>33</v>
      </c>
    </row>
    <row r="16" customFormat="false" ht="15" hidden="false" customHeight="false" outlineLevel="0" collapsed="false">
      <c r="A16" s="13" t="s">
        <v>364</v>
      </c>
      <c r="B16" s="11" t="n">
        <f aca="false">COUNTIF('Top 100 Ragas'!$N$2:$N$101,"A - Very common")</f>
        <v>38</v>
      </c>
    </row>
    <row r="17" customFormat="false" ht="15" hidden="false" customHeight="false" outlineLevel="0" collapsed="false">
      <c r="A17" s="13" t="s">
        <v>365</v>
      </c>
      <c r="B17" s="11" t="n">
        <f aca="false">COUNTIF('Top 100 Ragas'!$N$2:$N$101,"B - Common")</f>
        <v>39</v>
      </c>
    </row>
    <row r="18" customFormat="false" ht="15" hidden="false" customHeight="false" outlineLevel="0" collapsed="false">
      <c r="A18" s="13" t="s">
        <v>366</v>
      </c>
      <c r="B18" s="11" t="n">
        <f aca="false">COUNTIF('Top 100 Ragas'!$N$2:$N$101,"C - Less common")</f>
        <v>23</v>
      </c>
    </row>
    <row r="19" customFormat="false" ht="15" hidden="false" customHeight="false" outlineLevel="0" collapsed="false">
      <c r="A19" s="13" t="s">
        <v>367</v>
      </c>
      <c r="B19" s="11" t="n">
        <f aca="false">COUNTIF('Top 100 Ragas'!$P$2:$P$101,"Check")</f>
        <v>30</v>
      </c>
    </row>
    <row r="22" customFormat="false" ht="15" hidden="false" customHeight="false" outlineLevel="0" collapsed="false">
      <c r="A22" s="8" t="s">
        <v>368</v>
      </c>
    </row>
    <row r="23" customFormat="false" ht="27.75" hidden="false" customHeight="true" outlineLevel="0" collapsed="false">
      <c r="A23" s="10" t="s">
        <v>355</v>
      </c>
      <c r="B23" s="14" t="s">
        <v>369</v>
      </c>
      <c r="C23" s="14"/>
      <c r="D23" s="14"/>
      <c r="E23" s="14"/>
      <c r="F23" s="14"/>
      <c r="G23" s="14"/>
      <c r="H23" s="14"/>
    </row>
    <row r="24" customFormat="false" ht="27.75" hidden="false" customHeight="true" outlineLevel="0" collapsed="false">
      <c r="A24" s="10" t="s">
        <v>356</v>
      </c>
      <c r="B24" s="14" t="s">
        <v>370</v>
      </c>
      <c r="C24" s="14"/>
      <c r="D24" s="14"/>
      <c r="E24" s="14"/>
      <c r="F24" s="14"/>
      <c r="G24" s="14"/>
      <c r="H24" s="14"/>
    </row>
    <row r="25" customFormat="false" ht="27.75" hidden="false" customHeight="true" outlineLevel="0" collapsed="false">
      <c r="A25" s="10" t="s">
        <v>357</v>
      </c>
      <c r="B25" s="14" t="s">
        <v>371</v>
      </c>
      <c r="C25" s="14"/>
      <c r="D25" s="14"/>
      <c r="E25" s="14"/>
      <c r="F25" s="14"/>
      <c r="G25" s="14"/>
      <c r="H25" s="14"/>
    </row>
    <row r="26" customFormat="false" ht="27.75" hidden="false" customHeight="true" outlineLevel="0" collapsed="false">
      <c r="A26" s="10" t="s">
        <v>372</v>
      </c>
      <c r="B26" s="14" t="s">
        <v>373</v>
      </c>
      <c r="C26" s="14"/>
      <c r="D26" s="14"/>
      <c r="E26" s="14"/>
      <c r="F26" s="14"/>
      <c r="G26" s="14"/>
      <c r="H26" s="14"/>
    </row>
    <row r="27" customFormat="false" ht="27.75" hidden="false" customHeight="true" outlineLevel="0" collapsed="false">
      <c r="A27" s="10" t="s">
        <v>11</v>
      </c>
      <c r="B27" s="14" t="s">
        <v>374</v>
      </c>
      <c r="C27" s="14"/>
      <c r="D27" s="14"/>
      <c r="E27" s="14"/>
      <c r="F27" s="14"/>
      <c r="G27" s="14"/>
      <c r="H27" s="14"/>
    </row>
    <row r="28" customFormat="false" ht="27.75" hidden="false" customHeight="true" outlineLevel="0" collapsed="false">
      <c r="A28" s="10" t="s">
        <v>375</v>
      </c>
      <c r="B28" s="14" t="s">
        <v>376</v>
      </c>
      <c r="C28" s="14"/>
      <c r="D28" s="14"/>
      <c r="E28" s="14"/>
      <c r="F28" s="14"/>
      <c r="G28" s="14"/>
      <c r="H28" s="14"/>
    </row>
    <row r="29" customFormat="false" ht="27.75" hidden="false" customHeight="true" outlineLevel="0" collapsed="false">
      <c r="A29" s="10" t="s">
        <v>377</v>
      </c>
      <c r="B29" s="14" t="s">
        <v>378</v>
      </c>
      <c r="C29" s="14"/>
      <c r="D29" s="14"/>
      <c r="E29" s="14"/>
      <c r="F29" s="14"/>
      <c r="G29" s="14"/>
      <c r="H29" s="14"/>
    </row>
  </sheetData>
  <mergeCells count="7">
    <mergeCell ref="B23:H23"/>
    <mergeCell ref="B24:H24"/>
    <mergeCell ref="B25:H25"/>
    <mergeCell ref="B26:H26"/>
    <mergeCell ref="B27:H27"/>
    <mergeCell ref="B28:H28"/>
    <mergeCell ref="B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.75" hidden="false" customHeight="true" outlineLevel="0" collapsed="false">
      <c r="A1" s="15" t="s">
        <v>379</v>
      </c>
    </row>
    <row r="2" customFormat="false" ht="30" hidden="false" customHeight="true" outlineLevel="0" collapsed="false">
      <c r="A2" s="16" t="s">
        <v>380</v>
      </c>
    </row>
    <row r="3" customFormat="false" ht="30" hidden="false" customHeight="true" outlineLevel="0" collapsed="false">
      <c r="A3" s="16" t="s">
        <v>381</v>
      </c>
    </row>
    <row r="4" customFormat="false" ht="30" hidden="false" customHeight="true" outlineLevel="0" collapsed="false">
      <c r="A4" s="16" t="s">
        <v>382</v>
      </c>
    </row>
    <row r="5" customFormat="false" ht="30" hidden="false" customHeight="true" outlineLevel="0" collapsed="false">
      <c r="A5" s="16" t="s">
        <v>383</v>
      </c>
    </row>
    <row r="6" customFormat="false" ht="15.75" hidden="false" customHeight="true" outlineLevel="0" collapsed="false">
      <c r="A6" s="16"/>
    </row>
    <row r="7" customFormat="false" ht="15.75" hidden="false" customHeight="true" outlineLevel="0" collapsed="false">
      <c r="A7" s="15" t="s">
        <v>384</v>
      </c>
    </row>
    <row r="8" customFormat="false" ht="15.75" hidden="false" customHeight="true" outlineLevel="0" collapsed="false">
      <c r="A8" s="16" t="s">
        <v>385</v>
      </c>
    </row>
    <row r="9" customFormat="false" ht="15.75" hidden="false" customHeight="true" outlineLevel="0" collapsed="false">
      <c r="A9" s="16" t="s">
        <v>386</v>
      </c>
    </row>
    <row r="10" customFormat="false" ht="15.75" hidden="false" customHeight="true" outlineLevel="0" collapsed="false">
      <c r="A10" s="16" t="s">
        <v>387</v>
      </c>
    </row>
    <row r="11" customFormat="false" ht="30" hidden="false" customHeight="true" outlineLevel="0" collapsed="false">
      <c r="A11" s="16" t="s">
        <v>388</v>
      </c>
    </row>
    <row r="12" customFormat="false" ht="15.75" hidden="false" customHeight="true" outlineLevel="0" collapsed="false">
      <c r="A12" s="16"/>
    </row>
    <row r="13" customFormat="false" ht="30" hidden="false" customHeight="true" outlineLevel="0" collapsed="false">
      <c r="A13" s="16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2026-10-08T04:40:02Z</dcterms:created>
  <dc:creator>openpyxl</dc:creator>
  <dc:description/>
  <dc:language>en-US</dc:language>
  <cp:lastModifiedBy/>
  <dcterms:modified xsi:type="dcterms:W3CDTF">2026-10-08T04:40:02Z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